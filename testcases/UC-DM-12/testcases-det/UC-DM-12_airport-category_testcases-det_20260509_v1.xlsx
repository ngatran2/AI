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636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GUI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Bug report" sheetId="7" state="visible" r:id="rId7"/>
    <sheet xmlns:r="http://schemas.openxmlformats.org/officeDocument/2006/relationships" name="Screen Layout" sheetId="8" state="visible" r:id="rId8"/>
    <sheet xmlns:r="http://schemas.openxmlformats.org/officeDocument/2006/relationships" name="TPL_RoC" sheetId="9" state="hidden" r:id="rId9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8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b val="1"/>
      <color rgb="FF000000"/>
      <sz val="20"/>
    </font>
    <font>
      <name val="Arial"/>
      <i val="1"/>
      <color theme="1"/>
      <sz val="10"/>
    </font>
    <font>
      <name val="Arial"/>
      <b val="1"/>
      <color rgb="FF993300"/>
      <sz val="10"/>
    </font>
    <font>
      <name val="Arial"/>
      <i val="1"/>
      <color rgb="FF008000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name val="Arial"/>
      <family val="2"/>
      <b val="1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34"/>
  </cellStyleXfs>
  <cellXfs count="171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1" pivotButton="0" quotePrefix="0" xfId="0"/>
    <xf numFmtId="15" fontId="1" fillId="2" borderId="1" pivotButton="0" quotePrefix="0" xfId="0"/>
    <xf numFmtId="0" fontId="7" fillId="5" borderId="16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15" fillId="2" borderId="1" pivotButton="0" quotePrefix="0" xfId="0"/>
    <xf numFmtId="0" fontId="16" fillId="2" borderId="1" pivotButton="0" quotePrefix="0" xfId="0"/>
    <xf numFmtId="0" fontId="17" fillId="6" borderId="28" applyAlignment="1" pivotButton="0" quotePrefix="0" xfId="0">
      <alignment horizontal="center"/>
    </xf>
    <xf numFmtId="0" fontId="17" fillId="6" borderId="29" applyAlignment="1" pivotButton="0" quotePrefix="0" xfId="0">
      <alignment horizontal="center"/>
    </xf>
    <xf numFmtId="0" fontId="17" fillId="6" borderId="29" applyAlignment="1" pivotButton="0" quotePrefix="0" xfId="0">
      <alignment horizontal="center" wrapText="1"/>
    </xf>
    <xf numFmtId="0" fontId="17" fillId="6" borderId="30" applyAlignment="1" pivotButton="0" quotePrefix="0" xfId="0">
      <alignment horizontal="center" wrapText="1"/>
    </xf>
    <xf numFmtId="0" fontId="2" fillId="2" borderId="20" applyAlignment="1" pivotButton="0" quotePrefix="0" xfId="0">
      <alignment horizontal="center"/>
    </xf>
    <xf numFmtId="49" fontId="2" fillId="2" borderId="23" pivotButton="0" quotePrefix="0" xfId="0"/>
    <xf numFmtId="49" fontId="2" fillId="2" borderId="23" applyAlignment="1" pivotButton="0" quotePrefix="0" xfId="0">
      <alignment horizontal="center"/>
    </xf>
    <xf numFmtId="49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49" fontId="2" fillId="2" borderId="33" pivotButton="0" quotePrefix="0" xfId="0"/>
    <xf numFmtId="0" fontId="1" fillId="2" borderId="34" pivotButton="0" quotePrefix="0" xfId="0"/>
    <xf numFmtId="0" fontId="2" fillId="6" borderId="13" pivotButton="0" quotePrefix="0" xfId="0"/>
    <xf numFmtId="0" fontId="17" fillId="6" borderId="14" applyAlignment="1" pivotButton="0" quotePrefix="0" xfId="0">
      <alignment horizontal="center"/>
    </xf>
    <xf numFmtId="49" fontId="18" fillId="6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7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/>
    </xf>
    <xf numFmtId="0" fontId="1" fillId="0" borderId="0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37" applyAlignment="1" pivotButton="0" quotePrefix="0" xfId="0">
      <alignment horizontal="center"/>
    </xf>
    <xf numFmtId="49" fontId="20" fillId="0" borderId="37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23" fillId="0" borderId="0" pivotButton="0" quotePrefix="0" xfId="0"/>
    <xf numFmtId="0" fontId="24" fillId="2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25" fillId="0" borderId="0" pivotButton="0" quotePrefix="0" xfId="0"/>
    <xf numFmtId="0" fontId="14" fillId="2" borderId="1" applyAlignment="1" pivotButton="0" quotePrefix="0" xfId="0">
      <alignment vertical="center"/>
    </xf>
    <xf numFmtId="0" fontId="1" fillId="10" borderId="38" applyAlignment="1" pivotButton="0" quotePrefix="0" xfId="0">
      <alignment horizontal="left" vertical="top"/>
    </xf>
    <xf numFmtId="0" fontId="1" fillId="10" borderId="36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7" fontId="1" fillId="10" borderId="36" applyAlignment="1" pivotButton="0" quotePrefix="0" xfId="0">
      <alignment horizontal="center"/>
    </xf>
    <xf numFmtId="0" fontId="7" fillId="8" borderId="36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1" fillId="9" borderId="36" applyAlignment="1" pivotButton="0" quotePrefix="0" xfId="0">
      <alignment horizontal="center" vertical="center" wrapText="1"/>
    </xf>
    <xf numFmtId="168" fontId="1" fillId="9" borderId="36" applyAlignment="1" pivotButton="0" quotePrefix="0" xfId="0">
      <alignment horizontal="center" vertical="center" wrapText="1"/>
    </xf>
    <xf numFmtId="166" fontId="1" fillId="9" borderId="36" applyAlignment="1" pivotButton="0" quotePrefix="0" xfId="0">
      <alignment horizontal="center" vertical="center" wrapText="1"/>
    </xf>
    <xf numFmtId="0" fontId="1" fillId="9" borderId="38" applyAlignment="1" pivotButton="0" quotePrefix="1" xfId="0">
      <alignment horizontal="left" vertical="center" wrapText="1"/>
    </xf>
    <xf numFmtId="0" fontId="26" fillId="9" borderId="1" applyAlignment="1" pivotButton="0" quotePrefix="0" xfId="0">
      <alignment vertical="center"/>
    </xf>
    <xf numFmtId="0" fontId="1" fillId="9" borderId="38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169" fontId="1" fillId="9" borderId="1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7" fillId="7" borderId="35" applyAlignment="1" pivotButton="0" quotePrefix="0" xfId="0">
      <alignment horizontal="center" vertical="center" wrapText="1"/>
    </xf>
    <xf numFmtId="0" fontId="7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 wrapText="1"/>
    </xf>
    <xf numFmtId="0" fontId="14" fillId="2" borderId="39" applyAlignment="1" pivotButton="0" quotePrefix="0" xfId="0">
      <alignment vertical="center" wrapText="1"/>
    </xf>
    <xf numFmtId="0" fontId="0" fillId="0" borderId="39" pivotButton="0" quotePrefix="0" xfId="0"/>
    <xf numFmtId="0" fontId="0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7" borderId="35" applyAlignment="1" pivotButton="0" quotePrefix="0" xfId="0">
      <alignment horizontal="center" vertical="center" wrapText="1"/>
    </xf>
    <xf numFmtId="164" fontId="8" fillId="2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8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166" fontId="7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/>
    </xf>
    <xf numFmtId="165" fontId="1" fillId="2" borderId="21" applyAlignment="1" pivotButton="0" quotePrefix="0" xfId="0">
      <alignment horizontal="left" vertical="center"/>
    </xf>
    <xf numFmtId="0" fontId="5" fillId="0" borderId="24" pivotButton="0" quotePrefix="0" xfId="0"/>
    <xf numFmtId="0" fontId="14" fillId="2" borderId="25" applyAlignment="1" pivotButton="0" quotePrefix="0" xfId="0">
      <alignment vertical="center"/>
    </xf>
    <xf numFmtId="0" fontId="5" fillId="0" borderId="26" pivotButton="0" quotePrefix="0" xfId="0"/>
    <xf numFmtId="0" fontId="5" fillId="0" borderId="27" pivotButton="0" quotePrefix="0" xfId="0"/>
    <xf numFmtId="0" fontId="13" fillId="2" borderId="5" applyAlignment="1" pivotButton="0" quotePrefix="0" xfId="0">
      <alignment horizontal="center" vertical="center"/>
    </xf>
    <xf numFmtId="49" fontId="14" fillId="2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7" fillId="5" borderId="17" applyAlignment="1" pivotButton="0" quotePrefix="0" xfId="0">
      <alignment vertical="center"/>
    </xf>
    <xf numFmtId="0" fontId="1" fillId="2" borderId="17" applyAlignment="1" pivotButton="0" quotePrefix="0" xfId="0">
      <alignment horizontal="left" vertical="center"/>
    </xf>
    <xf numFmtId="0" fontId="5" fillId="0" borderId="19" pivotButton="0" quotePrefix="0" xfId="0"/>
    <xf numFmtId="49" fontId="14" fillId="2" borderId="21" applyAlignment="1" pivotButton="0" quotePrefix="0" xfId="0">
      <alignment horizontal="left" vertical="center" wrapText="1"/>
    </xf>
    <xf numFmtId="0" fontId="5" fillId="0" borderId="22" pivotButton="0" quotePrefix="0" xfId="0"/>
    <xf numFmtId="164" fontId="1" fillId="2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34" applyAlignment="1" pivotButton="0" quotePrefix="0" xfId="0">
      <alignment horizontal="center" wrapText="1"/>
    </xf>
    <xf numFmtId="0" fontId="6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left" vertical="center" wrapText="1"/>
    </xf>
    <xf numFmtId="164" fontId="8" fillId="2" borderId="34" applyAlignment="1" pivotButton="0" quotePrefix="0" xfId="0">
      <alignment horizontal="left" vertical="center" wrapText="1"/>
    </xf>
    <xf numFmtId="166" fontId="7" fillId="2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13" fillId="2" borderId="34" applyAlignment="1" pivotButton="0" quotePrefix="0" xfId="0">
      <alignment horizontal="center" vertical="center"/>
    </xf>
    <xf numFmtId="49" fontId="14" fillId="2" borderId="42" applyAlignment="1" pivotButton="0" quotePrefix="0" xfId="0">
      <alignment horizontal="left" vertical="center" wrapText="1"/>
    </xf>
    <xf numFmtId="0" fontId="0" fillId="0" borderId="18" pivotButton="0" quotePrefix="0" xfId="0"/>
    <xf numFmtId="0" fontId="7" fillId="5" borderId="42" applyAlignment="1" pivotButton="0" quotePrefix="0" xfId="0">
      <alignment vertical="center"/>
    </xf>
    <xf numFmtId="0" fontId="1" fillId="2" borderId="44" applyAlignment="1" pivotButton="0" quotePrefix="0" xfId="0">
      <alignment horizontal="left" vertical="center"/>
    </xf>
    <xf numFmtId="0" fontId="0" fillId="0" borderId="19" pivotButton="0" quotePrefix="0" xfId="0"/>
    <xf numFmtId="49" fontId="14" fillId="2" borderId="23" applyAlignment="1" pivotButton="0" quotePrefix="0" xfId="0">
      <alignment horizontal="left" vertical="center" wrapText="1"/>
    </xf>
    <xf numFmtId="0" fontId="0" fillId="0" borderId="22" pivotButton="0" quotePrefix="0" xfId="0"/>
    <xf numFmtId="164" fontId="1" fillId="2" borderId="31" applyAlignment="1" pivotButton="0" quotePrefix="0" xfId="0">
      <alignment horizontal="left" vertical="center"/>
    </xf>
    <xf numFmtId="0" fontId="0" fillId="0" borderId="24" pivotButton="0" quotePrefix="0" xfId="0"/>
    <xf numFmtId="165" fontId="1" fillId="2" borderId="31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1" fillId="2" borderId="39" applyAlignment="1" pivotButton="0" quotePrefix="0" xfId="0">
      <alignment vertical="top" wrapText="1"/>
    </xf>
    <xf numFmtId="0" fontId="14" fillId="2" borderId="39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34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6" fontId="1" fillId="9" borderId="36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122" min="1" max="1"/>
    <col width="8.09765625" customWidth="1" style="122" min="2" max="13"/>
    <col width="8.59765625" customWidth="1" style="122" min="14" max="14"/>
    <col width="1.3984375" customWidth="1" style="122" min="15" max="15"/>
    <col width="8.59765625" customWidth="1" style="122" min="16" max="26"/>
  </cols>
  <sheetData>
    <row r="1" ht="9.75" customHeight="1" s="122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122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122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122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122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122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122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122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122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122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122">
      <c r="A11" s="2" t="n"/>
      <c r="B11" s="4" t="n"/>
      <c r="C11" s="4" t="n"/>
      <c r="D11" s="4" t="n"/>
      <c r="E11" s="4" t="n"/>
      <c r="F11" s="14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122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122">
      <c r="A13" s="2" t="n"/>
      <c r="B13" s="4" t="n"/>
      <c r="C13" s="4" t="n"/>
      <c r="D13" s="4" t="n"/>
      <c r="E13" s="14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122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122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12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22">
      <c r="A18" s="2" t="n"/>
      <c r="B18" s="5" t="n"/>
      <c r="C18" s="142" t="inlineStr">
        <is>
          <t>Project Code:</t>
        </is>
      </c>
      <c r="E18" s="143" t="n"/>
      <c r="H18" s="5" t="n"/>
      <c r="I18" s="142" t="inlineStr">
        <is>
          <t>Reviewer:</t>
        </is>
      </c>
      <c r="K18" s="14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122">
      <c r="A19" s="2" t="n"/>
      <c r="B19" s="5" t="n"/>
      <c r="C19" s="142" t="inlineStr">
        <is>
          <t>Document Code:</t>
        </is>
      </c>
      <c r="E19" s="144" t="n"/>
      <c r="H19" s="5" t="n"/>
      <c r="I19" s="142" t="inlineStr">
        <is>
          <t>Role:</t>
        </is>
      </c>
      <c r="K19" s="14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122">
      <c r="A20" s="2" t="n"/>
      <c r="B20" s="5" t="n"/>
      <c r="C20" s="142" t="inlineStr">
        <is>
          <t>Created By:</t>
        </is>
      </c>
      <c r="E20" s="144" t="n"/>
      <c r="H20" s="5" t="n"/>
      <c r="I20" s="142" t="inlineStr">
        <is>
          <t>Reviewed Date:</t>
        </is>
      </c>
      <c r="K20" s="14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122">
      <c r="A21" s="2" t="n"/>
      <c r="B21" s="5" t="n"/>
      <c r="C21" s="142" t="inlineStr">
        <is>
          <t>Role:</t>
        </is>
      </c>
      <c r="E21" s="143" t="inlineStr">
        <is>
          <t>QC</t>
        </is>
      </c>
      <c r="H21" s="5" t="n"/>
      <c r="I21" s="142" t="inlineStr">
        <is>
          <t>Approver:</t>
        </is>
      </c>
      <c r="K21" s="14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122">
      <c r="A22" s="2" t="n"/>
      <c r="B22" s="5" t="n"/>
      <c r="C22" s="142" t="inlineStr">
        <is>
          <t>Created Date:</t>
        </is>
      </c>
      <c r="E22" s="145" t="n"/>
      <c r="H22" s="5" t="n"/>
      <c r="I22" s="142" t="inlineStr">
        <is>
          <t>Role:</t>
        </is>
      </c>
      <c r="K22" s="14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122">
      <c r="A23" s="2" t="n"/>
      <c r="B23" s="5" t="n"/>
      <c r="C23" s="142" t="inlineStr">
        <is>
          <t>Version</t>
        </is>
      </c>
      <c r="E23" s="146" t="n"/>
      <c r="H23" s="5" t="n"/>
      <c r="I23" s="142" t="inlineStr">
        <is>
          <t>Approved Date:</t>
        </is>
      </c>
      <c r="K23" s="14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122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122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12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2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122" min="1" max="1"/>
    <col width="17.8984375" customWidth="1" style="122" min="2" max="2"/>
    <col width="8.5" customWidth="1" style="122" min="3" max="3"/>
    <col width="24.8984375" customWidth="1" style="122" min="4" max="4"/>
    <col width="29" customWidth="1" style="122" min="5" max="5"/>
    <col width="20.09765625" customWidth="1" style="122" min="6" max="6"/>
    <col width="15.3984375" customWidth="1" style="122" min="7" max="8"/>
    <col width="3" customWidth="1" style="122" min="9" max="9"/>
    <col width="8.59765625" customWidth="1" style="122" min="10" max="26"/>
  </cols>
  <sheetData>
    <row r="1" ht="18.75" customHeight="1" s="122">
      <c r="A1" s="14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122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122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122">
      <c r="A4" s="21" t="n"/>
      <c r="B4" s="14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122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122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12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12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12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122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12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12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12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12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12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12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12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12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12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12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2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2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2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2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2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2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2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2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2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2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2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2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2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2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2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2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2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2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2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2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2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2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2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2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2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2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2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2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2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2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2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2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2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2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2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2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2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2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2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2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2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2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2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2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2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2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2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2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2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2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2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2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2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2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2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2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2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2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2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2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2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2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2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2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2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2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2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2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2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2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2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2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2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2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2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2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2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2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2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2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2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2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2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2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2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2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2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2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2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2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2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2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2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2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2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2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2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2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2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2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2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2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2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2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2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2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2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2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2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2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2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2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2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2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2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2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2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2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2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2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2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2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2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2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2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2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2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2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2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2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2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2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2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2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2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2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2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2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2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2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2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2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2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2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2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2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2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2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2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2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2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2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2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2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2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2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2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2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2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2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2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2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2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2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2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2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2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2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2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2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2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2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2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2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2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2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2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2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2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2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2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2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2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2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2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2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2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2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2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2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2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2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2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2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2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2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2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2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4.59765625" customWidth="1" style="122" min="1" max="1"/>
    <col width="13.5" customWidth="1" style="122" min="2" max="2"/>
    <col width="26.09765625" customWidth="1" style="122" min="3" max="3"/>
    <col width="9" customWidth="1" style="122" min="4" max="5"/>
    <col width="10.59765625" customWidth="1" style="122" min="6" max="6"/>
    <col width="9" customWidth="1" style="122" min="7" max="7"/>
    <col width="33.09765625" customWidth="1" style="122" min="8" max="8"/>
    <col width="2.59765625" customWidth="1" style="122" min="9" max="9"/>
    <col width="8.59765625" customWidth="1" style="122" min="10" max="26"/>
  </cols>
  <sheetData>
    <row r="1" ht="25.5" customHeight="1" s="122">
      <c r="A1" s="2" t="n"/>
      <c r="B1" s="149" t="inlineStr">
        <is>
          <t>Test Cases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122">
      <c r="A2" s="29" t="n"/>
      <c r="B2" s="29" t="n"/>
      <c r="C2" s="2" t="n"/>
      <c r="D2" s="2" t="n"/>
      <c r="E2" s="2" t="n"/>
      <c r="F2" s="2" t="n"/>
      <c r="G2" s="2" t="n"/>
      <c r="H2" s="30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.75" customHeight="1" s="122">
      <c r="A3" s="2" t="n"/>
      <c r="B3" s="31" t="inlineStr">
        <is>
          <t>Project Name</t>
        </is>
      </c>
      <c r="C3" s="150">
        <f>Cover!F11</f>
        <v/>
      </c>
      <c r="D3" s="151" t="n"/>
      <c r="E3" s="152" t="inlineStr">
        <is>
          <t>Tester</t>
        </is>
      </c>
      <c r="F3" s="151" t="n"/>
      <c r="G3" s="153" t="n"/>
      <c r="H3" s="15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8.5" customHeight="1" s="122">
      <c r="A4" s="2" t="n"/>
      <c r="B4" s="32" t="inlineStr">
        <is>
          <t>Project Code</t>
        </is>
      </c>
      <c r="C4" s="155">
        <f>Cover!E18</f>
        <v/>
      </c>
      <c r="D4" s="156" t="n"/>
      <c r="E4" s="33" t="inlineStr">
        <is>
          <t>Execute Date</t>
        </is>
      </c>
      <c r="F4" s="33" t="n"/>
      <c r="G4" s="157" t="n"/>
      <c r="H4" s="1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.75" customHeight="1" s="122">
      <c r="A5" s="2" t="n"/>
      <c r="B5" s="32" t="inlineStr">
        <is>
          <t>Document Name</t>
        </is>
      </c>
      <c r="C5" s="155">
        <f>C3&amp;"_"&amp;FUNCTION!#REF!&amp;"_Testcase_v1.0"</f>
        <v/>
      </c>
      <c r="D5" s="156" t="n"/>
      <c r="E5" s="33" t="inlineStr">
        <is>
          <t>Reviewer/Approved By</t>
        </is>
      </c>
      <c r="F5" s="33" t="n"/>
      <c r="G5" s="159" t="n"/>
      <c r="H5" s="158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2">
      <c r="A6" s="29" t="n"/>
      <c r="B6" s="34" t="inlineStr">
        <is>
          <t>Re-marks</t>
        </is>
      </c>
      <c r="C6" s="160" t="n"/>
      <c r="D6" s="161" t="n"/>
      <c r="E6" s="161" t="n"/>
      <c r="F6" s="161" t="n"/>
      <c r="G6" s="161" t="n"/>
      <c r="H6" s="16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2">
      <c r="A7" s="29" t="n"/>
      <c r="B7" s="35" t="n"/>
      <c r="C7" s="36" t="n"/>
      <c r="D7" s="2" t="n"/>
      <c r="E7" s="2" t="n"/>
      <c r="F7" s="2" t="n"/>
      <c r="G7" s="2" t="n"/>
      <c r="H7" s="3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" customHeight="1" s="122">
      <c r="A8" s="2" t="n"/>
      <c r="B8" s="35" t="inlineStr">
        <is>
          <t>Test Cases</t>
        </is>
      </c>
      <c r="C8" s="36" t="n"/>
      <c r="D8" s="2" t="n"/>
      <c r="E8" s="2" t="n"/>
      <c r="F8" s="2" t="n"/>
      <c r="G8" s="2" t="n"/>
      <c r="H8" s="3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8" customHeight="1" s="122">
      <c r="A9" s="2" t="n"/>
      <c r="B9" s="37" t="inlineStr">
        <is>
          <t>No.</t>
        </is>
      </c>
      <c r="C9" s="38" t="inlineStr">
        <is>
          <t>Function Name</t>
        </is>
      </c>
      <c r="D9" s="39" t="inlineStr">
        <is>
          <t>OK</t>
        </is>
      </c>
      <c r="E9" s="38" t="inlineStr">
        <is>
          <t>NG</t>
        </is>
      </c>
      <c r="F9" s="38" t="inlineStr">
        <is>
          <t>Untested</t>
        </is>
      </c>
      <c r="G9" s="38" t="inlineStr">
        <is>
          <t>N/A</t>
        </is>
      </c>
      <c r="H9" s="40" t="inlineStr">
        <is>
          <t>Total number of test cases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8" customHeight="1" s="122">
      <c r="A10" s="2" t="n"/>
      <c r="B10" s="41" t="n">
        <v>1</v>
      </c>
      <c r="C10" s="42" t="inlineStr">
        <is>
          <t>Function</t>
        </is>
      </c>
      <c r="D10" s="43">
        <f>FUNCTION!#REF!</f>
        <v/>
      </c>
      <c r="E10" s="43">
        <f>FUNCTION!#REF!</f>
        <v/>
      </c>
      <c r="F10" s="43">
        <f>FUNCTION!#REF!</f>
        <v/>
      </c>
      <c r="G10" s="43">
        <f>FUNCTION!#REF!</f>
        <v/>
      </c>
      <c r="H10" s="44">
        <f>SUM(D10:G10)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8" customHeight="1" s="122">
      <c r="A11" s="2" t="n"/>
      <c r="B11" s="45" t="n">
        <v>2</v>
      </c>
      <c r="C11" s="46" t="inlineStr">
        <is>
          <t>GUI</t>
        </is>
      </c>
      <c r="D11" s="43">
        <f>GUI!#REF!</f>
        <v/>
      </c>
      <c r="E11" s="43">
        <f>GUI!#REF!</f>
        <v/>
      </c>
      <c r="F11" s="43">
        <f>GUI!#REF!</f>
        <v/>
      </c>
      <c r="G11" s="43">
        <f>GUI!#REF!</f>
        <v/>
      </c>
      <c r="H11" s="44">
        <f>SUM(D11:G11)</f>
        <v/>
      </c>
      <c r="I11" s="47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8" customHeight="1" s="122">
      <c r="A12" s="2" t="n"/>
      <c r="B12" s="48" t="n"/>
      <c r="C12" s="49" t="inlineStr">
        <is>
          <t>Total</t>
        </is>
      </c>
      <c r="D12" s="50">
        <f>SUM(D10,D11)</f>
        <v/>
      </c>
      <c r="E12" s="50">
        <f>SUM(E10,E11)</f>
        <v/>
      </c>
      <c r="F12" s="50">
        <f>SUM(F10,F11)</f>
        <v/>
      </c>
      <c r="G12" s="50">
        <f>SUM(G10,G11)</f>
        <v/>
      </c>
      <c r="H12" s="50">
        <f>SUM(H10,H11)</f>
        <v/>
      </c>
      <c r="I12" s="47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122">
      <c r="A13" s="2" t="n"/>
      <c r="B13" s="51" t="n"/>
      <c r="C13" s="2" t="n"/>
      <c r="D13" s="52" t="n"/>
      <c r="E13" s="53" t="n"/>
      <c r="F13" s="53" t="n"/>
      <c r="G13" s="53" t="n"/>
      <c r="H13" s="5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" customHeight="1" s="122">
      <c r="A14" s="2" t="n"/>
      <c r="B14" s="2" t="n"/>
      <c r="C14" s="54" t="inlineStr">
        <is>
          <t>Test coverage</t>
        </is>
      </c>
      <c r="D14" s="2" t="n"/>
      <c r="E14" s="55">
        <f>(D12+E12)*100/(H12-G12)</f>
        <v/>
      </c>
      <c r="F14" s="2" t="inlineStr">
        <is>
          <t>%</t>
        </is>
      </c>
      <c r="G14" s="2" t="n"/>
      <c r="H14" s="5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8" customHeight="1" s="122">
      <c r="A15" s="2" t="n"/>
      <c r="B15" s="2" t="n"/>
      <c r="C15" s="54" t="inlineStr">
        <is>
          <t>Test success coverage</t>
        </is>
      </c>
      <c r="D15" s="2" t="n"/>
      <c r="E15" s="55">
        <f>D12*100/(H12-G12)</f>
        <v/>
      </c>
      <c r="F15" s="2" t="inlineStr">
        <is>
          <t>%</t>
        </is>
      </c>
      <c r="G15" s="2" t="n"/>
      <c r="H15" s="56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8" customHeight="1" s="12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8" customHeight="1" s="12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8" customHeight="1" s="12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8" customHeight="1" s="12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2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2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2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2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2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9">
    <mergeCell ref="G4:H4"/>
    <mergeCell ref="C6:H6"/>
    <mergeCell ref="B1:H1"/>
    <mergeCell ref="C5:D5"/>
    <mergeCell ref="G5:H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 scale="91"/>
  <headerFooter>
    <oddHeader>&amp;R1.0</oddHeader>
    <oddFooter>&amp;LSWD.VV.TEM.01.02 &amp;C-INTERNAL USE-&amp;R&amp;P/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95"/>
  <sheetViews>
    <sheetView showGridLines="0" workbookViewId="0">
      <pane ySplit="1" topLeftCell="A2" activePane="bottomLeft" state="frozen"/>
      <selection pane="bottomLeft" activeCell="A1" sqref="A1:XFD1"/>
    </sheetView>
  </sheetViews>
  <sheetFormatPr baseColWidth="8" defaultColWidth="12.59765625" defaultRowHeight="15" customHeight="1"/>
  <cols>
    <col width="17.8984375" customWidth="1" style="122" min="1" max="1"/>
    <col width="23.69921875" customWidth="1" style="122" min="2" max="3"/>
    <col width="37.5" customWidth="1" style="122" min="4" max="4"/>
    <col width="20.19921875" customWidth="1" style="122" min="5" max="5"/>
    <col width="24.19921875" customWidth="1" style="122" min="6" max="6"/>
    <col width="24.19921875" customWidth="1" style="122" min="7" max="7"/>
  </cols>
  <sheetData>
    <row r="1" ht="26.4" customHeight="1" s="122">
      <c r="A1" s="100" t="inlineStr">
        <is>
          <t>TC ID</t>
        </is>
      </c>
      <c r="B1" s="100" t="inlineStr">
        <is>
          <t>Test Title/Summary of test cases</t>
        </is>
      </c>
      <c r="C1" s="102" t="inlineStr">
        <is>
          <t>Pre-conditions</t>
        </is>
      </c>
      <c r="D1" s="101" t="inlineStr">
        <is>
          <t>Test Steps</t>
        </is>
      </c>
      <c r="E1" s="100" t="inlineStr">
        <is>
          <t>Expected Result</t>
        </is>
      </c>
      <c r="F1" s="100" t="inlineStr">
        <is>
          <t>Priority</t>
        </is>
      </c>
      <c r="G1" s="100" t="inlineStr">
        <is>
          <t>Data test</t>
        </is>
      </c>
    </row>
    <row r="2" ht="15.75" customHeight="1" s="122">
      <c r="A2" s="163" t="inlineStr">
        <is>
          <t>TC_UCDM12_GUI_01</t>
        </is>
      </c>
      <c r="B2" s="163" t="inlineStr">
        <is>
          <t>Verify Màn hình rỗng (Empty State)</t>
        </is>
      </c>
      <c r="C2" s="164" t="inlineStr">
        <is>
          <t>1. [Environment] Chrome browser.
2. [Auth] Authenticated as Admin.
3. [Data State] DB không có dữ liệu Sân bay.</t>
        </is>
      </c>
      <c r="D2" s="163" t="inlineStr">
        <is>
          <t>1. [Navigate] to "Danh mục" -&gt; "Sân bay".</t>
        </is>
      </c>
      <c r="E2" s="163" t="inlineStr">
        <is>
          <t>1. [UI] Bảng hiển thị thông báo "[Không có dữ liệu hoặc không có kết quả tìm kiếm]".
2. [UI] Nút "Thêm mới" được hiển thị và enable.</t>
        </is>
      </c>
      <c r="F2" s="163" t="inlineStr">
        <is>
          <t>P2</t>
        </is>
      </c>
      <c r="G2" s="163" t="inlineStr"/>
    </row>
    <row r="3" ht="15.75" customHeight="1" s="122">
      <c r="A3" s="163" t="inlineStr">
        <is>
          <t>TC_UCDM12_GUI_02</t>
        </is>
      </c>
      <c r="B3" s="163" t="inlineStr">
        <is>
          <t>Verify Màn hình có dữ liệu (Populated State)</t>
        </is>
      </c>
      <c r="C3" s="164" t="inlineStr">
        <is>
          <t>1. [Environment] Chrome browser.
2. [Auth] Authenticated as Admin.
3. [Data State] DB có 25 bản ghi sân bay.</t>
        </is>
      </c>
      <c r="D3" s="163" t="inlineStr">
        <is>
          <t>1. [Navigate] to "Danh mục" -&gt; "Sân bay".</t>
        </is>
      </c>
      <c r="E3" s="163" t="inlineStr">
        <is>
          <t>1. [UI] Bảng hiển thị 20 bản ghi đầu tiên, cột Mã sân bay, Tên sân bay.
2. [UI] Cột action có Xem, Sửa, Xóa.
3. [UI] Footer có phân trang ghi "Total 25 items".</t>
        </is>
      </c>
      <c r="F3" s="163" t="inlineStr">
        <is>
          <t>P2</t>
        </is>
      </c>
      <c r="G3" s="163" t="inlineStr"/>
    </row>
    <row r="4" ht="15.75" customHeight="1" s="122">
      <c r="A4" s="163" t="inlineStr">
        <is>
          <t>TC_UCDM12_GUI_03</t>
        </is>
      </c>
      <c r="B4" s="163" t="inlineStr">
        <is>
          <t>Verify Nút Cập nhật disable khi mở form Sửa</t>
        </is>
      </c>
      <c r="C4" s="164" t="inlineStr">
        <is>
          <t>1. [Environment] Chrome browser.
2. [Auth] Authenticated as Admin.
3. [Data State] Đang mở form Sửa sân bay "HAN".</t>
        </is>
      </c>
      <c r="D4" s="163" t="inlineStr">
        <is>
          <t>1. [Verify] button "Cập nhật" state.</t>
        </is>
      </c>
      <c r="E4" s="163" t="inlineStr">
        <is>
          <t>1. [UI] Nút Cập nhật ở trạng thái Disabled.</t>
        </is>
      </c>
      <c r="F4" s="163" t="inlineStr">
        <is>
          <t>P1</t>
        </is>
      </c>
      <c r="G4" s="163" t="inlineStr"/>
    </row>
    <row r="5" ht="15.75" customHeight="1" s="122">
      <c r="A5" s="163" t="inlineStr">
        <is>
          <t>TC_UCDM12_GUI_04</t>
        </is>
      </c>
      <c r="B5" s="163" t="inlineStr">
        <is>
          <t>Verify Nút Cập nhật enable khi thay đổi dữ liệu</t>
        </is>
      </c>
      <c r="C5" s="164" t="inlineStr">
        <is>
          <t>1. [Environment] Chrome browser.
2. [Auth] Authenticated as Admin.
3. [Data State] Đang mở form Sửa sân bay "HAN" - "Nội Bài".</t>
        </is>
      </c>
      <c r="D5" s="163" t="inlineStr">
        <is>
          <t>1. [Input] "Sân bay" = "Nội Bài 2".</t>
        </is>
      </c>
      <c r="E5" s="163" t="inlineStr">
        <is>
          <t>1. [UI] Nút Cập nhật chuyển sang trạng thái Enabled.</t>
        </is>
      </c>
      <c r="F5" s="163" t="inlineStr">
        <is>
          <t>P1</t>
        </is>
      </c>
      <c r="G5" s="163" t="inlineStr"/>
    </row>
    <row r="6" ht="15.75" customHeight="1" s="122">
      <c r="A6" s="163" t="inlineStr">
        <is>
          <t>TC_UCDM12_GUI_05</t>
        </is>
      </c>
      <c r="B6" s="163" t="inlineStr">
        <is>
          <t>Verify Đóng form không lưu dữ liệu (Reset state)</t>
        </is>
      </c>
      <c r="C6" s="164" t="inlineStr">
        <is>
          <t>1. [Environment] Chrome browser.
2. [Auth] Authenticated as Admin.
3. [System Config] Đang mở form Thêm mới.</t>
        </is>
      </c>
      <c r="D6" s="163" t="inlineStr">
        <is>
          <t>1. [Input] "Mã sân bay" = "TEST".
2. [Click] button "Đóng".
3. [Click] button "Thêm mới" lần nữa.</t>
        </is>
      </c>
      <c r="E6" s="163" t="inlineStr">
        <is>
          <t>1. [UI] Form mở lại với các input đều trống.</t>
        </is>
      </c>
      <c r="F6" s="163" t="inlineStr">
        <is>
          <t>P2</t>
        </is>
      </c>
      <c r="G6" s="163" t="inlineStr"/>
    </row>
    <row r="7" ht="15.75" customHeight="1" s="122">
      <c r="A7" s="105" t="n"/>
      <c r="B7" s="105" t="n"/>
      <c r="C7" s="106" t="n"/>
      <c r="D7" s="105" t="n"/>
      <c r="E7" s="105" t="n"/>
      <c r="F7" s="105" t="n"/>
      <c r="G7" s="105" t="n"/>
    </row>
    <row r="8" ht="15.75" customHeight="1" s="122">
      <c r="A8" s="105" t="n"/>
      <c r="B8" s="105" t="n"/>
      <c r="C8" s="106" t="n"/>
      <c r="D8" s="105" t="n"/>
      <c r="E8" s="105" t="n"/>
      <c r="F8" s="105" t="n"/>
      <c r="G8" s="105" t="n"/>
    </row>
    <row r="9" ht="15.75" customHeight="1" s="122">
      <c r="A9" s="107" t="n"/>
      <c r="B9" s="107" t="n"/>
      <c r="C9" s="107" t="n"/>
      <c r="D9" s="107" t="n"/>
      <c r="E9" s="107" t="n"/>
      <c r="F9" s="107" t="n"/>
      <c r="G9" s="107" t="n"/>
    </row>
    <row r="10" ht="15.75" customHeight="1" s="122">
      <c r="A10" s="107" t="n"/>
      <c r="B10" s="107" t="n"/>
      <c r="C10" s="107" t="n"/>
      <c r="D10" s="107" t="n"/>
      <c r="E10" s="107" t="n"/>
      <c r="F10" s="107" t="n"/>
      <c r="G10" s="107" t="n"/>
    </row>
    <row r="11" ht="15.75" customHeight="1" s="122">
      <c r="A11" s="107" t="n"/>
      <c r="B11" s="107" t="n"/>
      <c r="C11" s="107" t="n"/>
      <c r="D11" s="107" t="n"/>
      <c r="E11" s="107" t="n"/>
      <c r="F11" s="107" t="n"/>
      <c r="G11" s="107" t="n"/>
    </row>
    <row r="12" ht="15.75" customHeight="1" s="122">
      <c r="A12" s="107" t="n"/>
      <c r="B12" s="107" t="n"/>
      <c r="C12" s="107" t="n"/>
      <c r="D12" s="107" t="n"/>
      <c r="E12" s="107" t="n"/>
      <c r="F12" s="107" t="n"/>
      <c r="G12" s="107" t="n"/>
    </row>
    <row r="13" ht="15.75" customHeight="1" s="122">
      <c r="A13" s="107" t="n"/>
      <c r="B13" s="107" t="n"/>
      <c r="C13" s="107" t="n"/>
      <c r="D13" s="107" t="n"/>
      <c r="E13" s="107" t="n"/>
      <c r="F13" s="107" t="n"/>
      <c r="G13" s="107" t="n"/>
    </row>
    <row r="14" ht="15.75" customHeight="1" s="122">
      <c r="A14" s="107" t="n"/>
      <c r="B14" s="107" t="n"/>
      <c r="C14" s="107" t="n"/>
      <c r="D14" s="107" t="n"/>
      <c r="E14" s="107" t="n"/>
      <c r="F14" s="107" t="n"/>
      <c r="G14" s="107" t="n"/>
    </row>
    <row r="15" ht="15.75" customHeight="1" s="122">
      <c r="A15" s="107" t="n"/>
      <c r="B15" s="107" t="n"/>
      <c r="C15" s="107" t="n"/>
      <c r="D15" s="107" t="n"/>
      <c r="E15" s="107" t="n"/>
      <c r="F15" s="107" t="n"/>
      <c r="G15" s="107" t="n"/>
    </row>
    <row r="16" ht="15.75" customHeight="1" s="122">
      <c r="A16" s="107" t="n"/>
      <c r="B16" s="107" t="n"/>
      <c r="C16" s="107" t="n"/>
      <c r="D16" s="107" t="n"/>
      <c r="E16" s="107" t="n"/>
      <c r="F16" s="107" t="n"/>
      <c r="G16" s="107" t="n"/>
    </row>
    <row r="17" ht="15.75" customHeight="1" s="122">
      <c r="A17" s="107" t="n"/>
      <c r="B17" s="107" t="n"/>
      <c r="C17" s="107" t="n"/>
      <c r="D17" s="107" t="n"/>
      <c r="E17" s="107" t="n"/>
      <c r="F17" s="107" t="n"/>
      <c r="G17" s="107" t="n"/>
    </row>
    <row r="18" ht="15.75" customHeight="1" s="122">
      <c r="A18" s="107" t="n"/>
      <c r="B18" s="107" t="n"/>
      <c r="C18" s="107" t="n"/>
      <c r="D18" s="107" t="n"/>
      <c r="E18" s="107" t="n"/>
      <c r="F18" s="107" t="n"/>
      <c r="G18" s="107" t="n"/>
    </row>
    <row r="19" ht="15.75" customHeight="1" s="122">
      <c r="A19" s="107" t="n"/>
      <c r="B19" s="107" t="n"/>
      <c r="C19" s="107" t="n"/>
      <c r="D19" s="107" t="n"/>
      <c r="E19" s="107" t="n"/>
      <c r="F19" s="107" t="n"/>
      <c r="G19" s="107" t="n"/>
    </row>
    <row r="20" ht="15.75" customHeight="1" s="122">
      <c r="A20" s="107" t="n"/>
      <c r="B20" s="107" t="n"/>
      <c r="C20" s="107" t="n"/>
      <c r="D20" s="107" t="n"/>
      <c r="E20" s="107" t="n"/>
      <c r="F20" s="107" t="n"/>
      <c r="G20" s="107" t="n"/>
    </row>
    <row r="21" ht="15.75" customHeight="1" s="122">
      <c r="A21" s="107" t="n"/>
      <c r="B21" s="107" t="n"/>
      <c r="C21" s="107" t="n"/>
      <c r="D21" s="107" t="n"/>
      <c r="E21" s="107" t="n"/>
      <c r="F21" s="107" t="n"/>
      <c r="G21" s="107" t="n"/>
    </row>
    <row r="22" ht="15.75" customHeight="1" s="122">
      <c r="A22" s="107" t="n"/>
      <c r="B22" s="107" t="n"/>
      <c r="C22" s="107" t="n"/>
      <c r="D22" s="107" t="n"/>
      <c r="E22" s="107" t="n"/>
      <c r="F22" s="107" t="n"/>
      <c r="G22" s="107" t="n"/>
    </row>
    <row r="23" ht="15.75" customHeight="1" s="122">
      <c r="A23" s="107" t="n"/>
      <c r="B23" s="107" t="n"/>
      <c r="C23" s="107" t="n"/>
      <c r="D23" s="107" t="n"/>
      <c r="E23" s="107" t="n"/>
      <c r="F23" s="107" t="n"/>
      <c r="G23" s="107" t="n"/>
    </row>
    <row r="24" ht="15.75" customHeight="1" s="122">
      <c r="A24" s="107" t="n"/>
      <c r="B24" s="107" t="n"/>
      <c r="C24" s="107" t="n"/>
      <c r="D24" s="107" t="n"/>
      <c r="E24" s="107" t="n"/>
      <c r="F24" s="107" t="n"/>
      <c r="G24" s="107" t="n"/>
    </row>
    <row r="25" ht="15.75" customHeight="1" s="122">
      <c r="A25" s="107" t="n"/>
      <c r="B25" s="107" t="n"/>
      <c r="C25" s="107" t="n"/>
      <c r="D25" s="107" t="n"/>
      <c r="E25" s="107" t="n"/>
      <c r="F25" s="107" t="n"/>
      <c r="G25" s="107" t="n"/>
    </row>
    <row r="26" ht="15.75" customHeight="1" s="122">
      <c r="A26" s="107" t="n"/>
      <c r="B26" s="107" t="n"/>
      <c r="C26" s="107" t="n"/>
      <c r="D26" s="107" t="n"/>
      <c r="E26" s="107" t="n"/>
      <c r="F26" s="107" t="n"/>
      <c r="G26" s="107" t="n"/>
    </row>
    <row r="27" ht="15.75" customHeight="1" s="122">
      <c r="A27" s="107" t="n"/>
      <c r="B27" s="107" t="n"/>
      <c r="C27" s="107" t="n"/>
      <c r="D27" s="107" t="n"/>
      <c r="E27" s="107" t="n"/>
      <c r="F27" s="107" t="n"/>
      <c r="G27" s="107" t="n"/>
    </row>
    <row r="28" ht="15.75" customHeight="1" s="122">
      <c r="A28" s="107" t="n"/>
      <c r="B28" s="107" t="n"/>
      <c r="C28" s="107" t="n"/>
      <c r="D28" s="107" t="n"/>
      <c r="E28" s="107" t="n"/>
      <c r="F28" s="107" t="n"/>
      <c r="G28" s="107" t="n"/>
    </row>
    <row r="29" ht="15.75" customHeight="1" s="122">
      <c r="A29" s="107" t="n"/>
      <c r="B29" s="107" t="n"/>
      <c r="C29" s="107" t="n"/>
      <c r="D29" s="107" t="n"/>
      <c r="E29" s="107" t="n"/>
      <c r="F29" s="107" t="n"/>
      <c r="G29" s="107" t="n"/>
    </row>
    <row r="30" ht="15.75" customHeight="1" s="122">
      <c r="A30" s="107" t="n"/>
      <c r="B30" s="107" t="n"/>
      <c r="C30" s="107" t="n"/>
      <c r="D30" s="107" t="n"/>
      <c r="E30" s="107" t="n"/>
      <c r="F30" s="107" t="n"/>
      <c r="G30" s="107" t="n"/>
    </row>
    <row r="31" ht="15.75" customHeight="1" s="122">
      <c r="A31" s="107" t="n"/>
      <c r="B31" s="107" t="n"/>
      <c r="C31" s="107" t="n"/>
      <c r="D31" s="107" t="n"/>
      <c r="E31" s="107" t="n"/>
      <c r="F31" s="107" t="n"/>
      <c r="G31" s="107" t="n"/>
    </row>
    <row r="32" ht="15.75" customHeight="1" s="122">
      <c r="A32" s="107" t="n"/>
      <c r="B32" s="107" t="n"/>
      <c r="C32" s="107" t="n"/>
      <c r="D32" s="107" t="n"/>
      <c r="E32" s="107" t="n"/>
      <c r="F32" s="107" t="n"/>
      <c r="G32" s="107" t="n"/>
    </row>
    <row r="33" ht="15.75" customHeight="1" s="122">
      <c r="A33" s="107" t="n"/>
      <c r="B33" s="107" t="n"/>
      <c r="C33" s="107" t="n"/>
      <c r="D33" s="107" t="n"/>
      <c r="E33" s="107" t="n"/>
      <c r="F33" s="107" t="n"/>
      <c r="G33" s="107" t="n"/>
    </row>
    <row r="34" ht="15.75" customHeight="1" s="122">
      <c r="A34" s="107" t="n"/>
      <c r="B34" s="107" t="n"/>
      <c r="C34" s="107" t="n"/>
      <c r="D34" s="107" t="n"/>
      <c r="E34" s="107" t="n"/>
      <c r="F34" s="107" t="n"/>
      <c r="G34" s="107" t="n"/>
    </row>
    <row r="35" ht="15.75" customHeight="1" s="122">
      <c r="A35" s="107" t="n"/>
      <c r="B35" s="107" t="n"/>
      <c r="C35" s="107" t="n"/>
      <c r="D35" s="107" t="n"/>
      <c r="E35" s="107" t="n"/>
      <c r="F35" s="107" t="n"/>
      <c r="G35" s="107" t="n"/>
    </row>
    <row r="36" ht="15.75" customHeight="1" s="122">
      <c r="A36" s="107" t="n"/>
      <c r="B36" s="107" t="n"/>
      <c r="C36" s="107" t="n"/>
      <c r="D36" s="107" t="n"/>
      <c r="E36" s="107" t="n"/>
      <c r="F36" s="107" t="n"/>
      <c r="G36" s="107" t="n"/>
    </row>
    <row r="37" ht="15.75" customHeight="1" s="122">
      <c r="A37" s="107" t="n"/>
      <c r="B37" s="107" t="n"/>
      <c r="C37" s="107" t="n"/>
      <c r="D37" s="107" t="n"/>
      <c r="E37" s="107" t="n"/>
      <c r="F37" s="107" t="n"/>
      <c r="G37" s="107" t="n"/>
    </row>
    <row r="38" ht="15.75" customHeight="1" s="122">
      <c r="A38" s="107" t="n"/>
      <c r="B38" s="107" t="n"/>
      <c r="C38" s="107" t="n"/>
      <c r="D38" s="107" t="n"/>
      <c r="E38" s="107" t="n"/>
      <c r="F38" s="107" t="n"/>
      <c r="G38" s="107" t="n"/>
    </row>
    <row r="39" ht="15.75" customHeight="1" s="122">
      <c r="A39" s="107" t="n"/>
      <c r="B39" s="107" t="n"/>
      <c r="C39" s="107" t="n"/>
      <c r="D39" s="107" t="n"/>
      <c r="E39" s="107" t="n"/>
      <c r="F39" s="107" t="n"/>
      <c r="G39" s="107" t="n"/>
    </row>
    <row r="40" ht="15.75" customHeight="1" s="122">
      <c r="A40" s="107" t="n"/>
      <c r="B40" s="107" t="n"/>
      <c r="C40" s="107" t="n"/>
      <c r="D40" s="107" t="n"/>
      <c r="E40" s="107" t="n"/>
      <c r="F40" s="107" t="n"/>
      <c r="G40" s="107" t="n"/>
    </row>
    <row r="41" ht="15.75" customHeight="1" s="122">
      <c r="A41" s="107" t="n"/>
      <c r="B41" s="107" t="n"/>
      <c r="C41" s="107" t="n"/>
      <c r="D41" s="107" t="n"/>
      <c r="E41" s="107" t="n"/>
      <c r="F41" s="107" t="n"/>
      <c r="G41" s="107" t="n"/>
    </row>
    <row r="42" ht="15.75" customHeight="1" s="122">
      <c r="A42" s="107" t="n"/>
      <c r="B42" s="107" t="n"/>
      <c r="C42" s="107" t="n"/>
      <c r="D42" s="107" t="n"/>
      <c r="E42" s="107" t="n"/>
      <c r="F42" s="107" t="n"/>
      <c r="G42" s="107" t="n"/>
    </row>
    <row r="43" ht="15.75" customHeight="1" s="122">
      <c r="A43" s="107" t="n"/>
      <c r="B43" s="107" t="n"/>
      <c r="C43" s="107" t="n"/>
      <c r="D43" s="107" t="n"/>
      <c r="E43" s="107" t="n"/>
      <c r="F43" s="107" t="n"/>
      <c r="G43" s="107" t="n"/>
    </row>
    <row r="44" ht="15.75" customHeight="1" s="122">
      <c r="A44" s="107" t="n"/>
      <c r="B44" s="107" t="n"/>
      <c r="C44" s="107" t="n"/>
      <c r="D44" s="107" t="n"/>
      <c r="E44" s="107" t="n"/>
      <c r="F44" s="107" t="n"/>
      <c r="G44" s="107" t="n"/>
    </row>
    <row r="45" ht="15.75" customHeight="1" s="122">
      <c r="A45" s="107" t="n"/>
      <c r="B45" s="107" t="n"/>
      <c r="C45" s="107" t="n"/>
      <c r="D45" s="107" t="n"/>
      <c r="E45" s="107" t="n"/>
      <c r="F45" s="107" t="n"/>
      <c r="G45" s="107" t="n"/>
    </row>
    <row r="46" ht="15.75" customHeight="1" s="122">
      <c r="A46" s="107" t="n"/>
      <c r="B46" s="107" t="n"/>
      <c r="C46" s="107" t="n"/>
      <c r="D46" s="107" t="n"/>
      <c r="E46" s="107" t="n"/>
      <c r="F46" s="107" t="n"/>
      <c r="G46" s="107" t="n"/>
    </row>
    <row r="47" ht="15.75" customHeight="1" s="122">
      <c r="A47" s="107" t="n"/>
      <c r="B47" s="107" t="n"/>
      <c r="C47" s="107" t="n"/>
      <c r="D47" s="107" t="n"/>
      <c r="E47" s="107" t="n"/>
      <c r="F47" s="107" t="n"/>
      <c r="G47" s="107" t="n"/>
    </row>
    <row r="48" ht="15.75" customHeight="1" s="122">
      <c r="A48" s="107" t="n"/>
      <c r="B48" s="107" t="n"/>
      <c r="C48" s="107" t="n"/>
      <c r="D48" s="107" t="n"/>
      <c r="E48" s="107" t="n"/>
      <c r="F48" s="107" t="n"/>
      <c r="G48" s="107" t="n"/>
    </row>
    <row r="49" ht="15.75" customHeight="1" s="122">
      <c r="A49" s="107" t="n"/>
      <c r="B49" s="107" t="n"/>
      <c r="C49" s="107" t="n"/>
      <c r="D49" s="107" t="n"/>
      <c r="E49" s="107" t="n"/>
      <c r="F49" s="107" t="n"/>
      <c r="G49" s="107" t="n"/>
    </row>
    <row r="50" ht="15.75" customHeight="1" s="122">
      <c r="A50" s="107" t="n"/>
      <c r="B50" s="107" t="n"/>
      <c r="C50" s="107" t="n"/>
      <c r="D50" s="107" t="n"/>
      <c r="E50" s="107" t="n"/>
      <c r="F50" s="107" t="n"/>
      <c r="G50" s="107" t="n"/>
    </row>
    <row r="51" ht="15.75" customHeight="1" s="122">
      <c r="A51" s="107" t="n"/>
      <c r="B51" s="107" t="n"/>
      <c r="C51" s="107" t="n"/>
      <c r="D51" s="107" t="n"/>
      <c r="E51" s="107" t="n"/>
      <c r="F51" s="107" t="n"/>
      <c r="G51" s="107" t="n"/>
    </row>
    <row r="52" ht="15.75" customHeight="1" s="122">
      <c r="A52" s="107" t="n"/>
      <c r="B52" s="107" t="n"/>
      <c r="C52" s="107" t="n"/>
      <c r="D52" s="107" t="n"/>
      <c r="E52" s="107" t="n"/>
      <c r="F52" s="107" t="n"/>
      <c r="G52" s="107" t="n"/>
    </row>
    <row r="53" ht="15.75" customHeight="1" s="122">
      <c r="A53" s="107" t="n"/>
      <c r="B53" s="107" t="n"/>
      <c r="C53" s="107" t="n"/>
      <c r="D53" s="107" t="n"/>
      <c r="E53" s="107" t="n"/>
      <c r="F53" s="107" t="n"/>
      <c r="G53" s="107" t="n"/>
    </row>
    <row r="54" ht="15.75" customHeight="1" s="122">
      <c r="A54" s="107" t="n"/>
      <c r="B54" s="107" t="n"/>
      <c r="C54" s="107" t="n"/>
      <c r="D54" s="107" t="n"/>
      <c r="E54" s="107" t="n"/>
      <c r="F54" s="107" t="n"/>
      <c r="G54" s="107" t="n"/>
    </row>
    <row r="55" ht="15.75" customHeight="1" s="122">
      <c r="A55" s="107" t="n"/>
      <c r="B55" s="107" t="n"/>
      <c r="C55" s="107" t="n"/>
      <c r="D55" s="107" t="n"/>
      <c r="E55" s="107" t="n"/>
      <c r="F55" s="107" t="n"/>
      <c r="G55" s="107" t="n"/>
    </row>
    <row r="56" ht="15.75" customHeight="1" s="122">
      <c r="A56" s="107" t="n"/>
      <c r="B56" s="107" t="n"/>
      <c r="C56" s="107" t="n"/>
      <c r="D56" s="107" t="n"/>
      <c r="E56" s="107" t="n"/>
      <c r="F56" s="107" t="n"/>
      <c r="G56" s="107" t="n"/>
    </row>
    <row r="57" ht="15.75" customHeight="1" s="122">
      <c r="A57" s="107" t="n"/>
      <c r="B57" s="107" t="n"/>
      <c r="C57" s="107" t="n"/>
      <c r="D57" s="107" t="n"/>
      <c r="E57" s="107" t="n"/>
      <c r="F57" s="107" t="n"/>
      <c r="G57" s="107" t="n"/>
    </row>
    <row r="58" ht="15.75" customHeight="1" s="122">
      <c r="A58" s="107" t="n"/>
      <c r="B58" s="107" t="n"/>
      <c r="C58" s="107" t="n"/>
      <c r="D58" s="107" t="n"/>
      <c r="E58" s="107" t="n"/>
      <c r="F58" s="107" t="n"/>
      <c r="G58" s="107" t="n"/>
    </row>
    <row r="59" ht="15.75" customHeight="1" s="122">
      <c r="A59" s="107" t="n"/>
      <c r="B59" s="107" t="n"/>
      <c r="C59" s="107" t="n"/>
      <c r="D59" s="107" t="n"/>
      <c r="E59" s="107" t="n"/>
      <c r="F59" s="107" t="n"/>
      <c r="G59" s="107" t="n"/>
    </row>
    <row r="60" ht="15.75" customHeight="1" s="122">
      <c r="A60" s="107" t="n"/>
      <c r="B60" s="107" t="n"/>
      <c r="C60" s="107" t="n"/>
      <c r="D60" s="107" t="n"/>
      <c r="E60" s="107" t="n"/>
      <c r="F60" s="107" t="n"/>
      <c r="G60" s="107" t="n"/>
    </row>
    <row r="61" ht="15.75" customHeight="1" s="122">
      <c r="A61" s="107" t="n"/>
      <c r="B61" s="107" t="n"/>
      <c r="C61" s="107" t="n"/>
      <c r="D61" s="107" t="n"/>
      <c r="E61" s="107" t="n"/>
      <c r="F61" s="107" t="n"/>
      <c r="G61" s="107" t="n"/>
    </row>
    <row r="62" ht="15.75" customHeight="1" s="122">
      <c r="A62" s="107" t="n"/>
      <c r="B62" s="107" t="n"/>
      <c r="C62" s="107" t="n"/>
      <c r="D62" s="107" t="n"/>
      <c r="E62" s="107" t="n"/>
      <c r="F62" s="107" t="n"/>
      <c r="G62" s="107" t="n"/>
    </row>
    <row r="63" ht="15.75" customHeight="1" s="122">
      <c r="A63" s="107" t="n"/>
      <c r="B63" s="107" t="n"/>
      <c r="C63" s="107" t="n"/>
      <c r="D63" s="107" t="n"/>
      <c r="E63" s="107" t="n"/>
      <c r="F63" s="107" t="n"/>
      <c r="G63" s="107" t="n"/>
    </row>
    <row r="64" ht="15.75" customHeight="1" s="122">
      <c r="A64" s="107" t="n"/>
      <c r="B64" s="107" t="n"/>
      <c r="C64" s="107" t="n"/>
      <c r="D64" s="107" t="n"/>
      <c r="E64" s="107" t="n"/>
      <c r="F64" s="107" t="n"/>
      <c r="G64" s="107" t="n"/>
    </row>
    <row r="65" ht="15.75" customHeight="1" s="122">
      <c r="A65" s="107" t="n"/>
      <c r="B65" s="107" t="n"/>
      <c r="C65" s="107" t="n"/>
      <c r="D65" s="107" t="n"/>
      <c r="E65" s="107" t="n"/>
      <c r="F65" s="107" t="n"/>
      <c r="G65" s="107" t="n"/>
    </row>
    <row r="66" ht="15.75" customHeight="1" s="122">
      <c r="A66" s="107" t="n"/>
      <c r="B66" s="107" t="n"/>
      <c r="C66" s="107" t="n"/>
      <c r="D66" s="107" t="n"/>
      <c r="E66" s="107" t="n"/>
      <c r="F66" s="107" t="n"/>
      <c r="G66" s="107" t="n"/>
    </row>
    <row r="67" ht="15.75" customHeight="1" s="122">
      <c r="A67" s="107" t="n"/>
      <c r="B67" s="107" t="n"/>
      <c r="C67" s="107" t="n"/>
      <c r="D67" s="107" t="n"/>
      <c r="E67" s="107" t="n"/>
      <c r="F67" s="107" t="n"/>
      <c r="G67" s="107" t="n"/>
    </row>
    <row r="68" ht="15.75" customHeight="1" s="122">
      <c r="A68" s="107" t="n"/>
      <c r="B68" s="107" t="n"/>
      <c r="C68" s="107" t="n"/>
      <c r="D68" s="107" t="n"/>
      <c r="E68" s="107" t="n"/>
      <c r="F68" s="107" t="n"/>
      <c r="G68" s="107" t="n"/>
    </row>
    <row r="69" ht="15.75" customHeight="1" s="122">
      <c r="A69" s="107" t="n"/>
      <c r="B69" s="107" t="n"/>
      <c r="C69" s="107" t="n"/>
      <c r="D69" s="107" t="n"/>
      <c r="E69" s="107" t="n"/>
      <c r="F69" s="107" t="n"/>
      <c r="G69" s="107" t="n"/>
    </row>
    <row r="70" ht="15.75" customHeight="1" s="122">
      <c r="A70" s="107" t="n"/>
      <c r="B70" s="107" t="n"/>
      <c r="C70" s="107" t="n"/>
      <c r="D70" s="107" t="n"/>
      <c r="E70" s="107" t="n"/>
      <c r="F70" s="107" t="n"/>
      <c r="G70" s="107" t="n"/>
    </row>
    <row r="71" ht="15.75" customHeight="1" s="122">
      <c r="A71" s="107" t="n"/>
      <c r="B71" s="107" t="n"/>
      <c r="C71" s="107" t="n"/>
      <c r="D71" s="107" t="n"/>
      <c r="E71" s="107" t="n"/>
      <c r="F71" s="107" t="n"/>
      <c r="G71" s="107" t="n"/>
    </row>
    <row r="72" ht="15.75" customHeight="1" s="122">
      <c r="A72" s="107" t="n"/>
      <c r="B72" s="107" t="n"/>
      <c r="C72" s="107" t="n"/>
      <c r="D72" s="107" t="n"/>
      <c r="E72" s="107" t="n"/>
      <c r="F72" s="107" t="n"/>
      <c r="G72" s="107" t="n"/>
    </row>
    <row r="73" ht="15.75" customHeight="1" s="122">
      <c r="A73" s="107" t="n"/>
      <c r="B73" s="107" t="n"/>
      <c r="C73" s="107" t="n"/>
      <c r="D73" s="107" t="n"/>
      <c r="E73" s="107" t="n"/>
      <c r="F73" s="107" t="n"/>
      <c r="G73" s="107" t="n"/>
    </row>
    <row r="74" ht="15.75" customHeight="1" s="122">
      <c r="A74" s="107" t="n"/>
      <c r="B74" s="107" t="n"/>
      <c r="C74" s="107" t="n"/>
      <c r="D74" s="107" t="n"/>
      <c r="E74" s="107" t="n"/>
      <c r="F74" s="107" t="n"/>
      <c r="G74" s="107" t="n"/>
    </row>
    <row r="75" ht="15.75" customHeight="1" s="122">
      <c r="A75" s="107" t="n"/>
      <c r="B75" s="107" t="n"/>
      <c r="C75" s="107" t="n"/>
      <c r="D75" s="107" t="n"/>
      <c r="E75" s="107" t="n"/>
      <c r="F75" s="107" t="n"/>
      <c r="G75" s="107" t="n"/>
    </row>
    <row r="76" ht="15.75" customHeight="1" s="122">
      <c r="A76" s="107" t="n"/>
      <c r="B76" s="107" t="n"/>
      <c r="C76" s="107" t="n"/>
      <c r="D76" s="107" t="n"/>
      <c r="E76" s="107" t="n"/>
      <c r="F76" s="107" t="n"/>
      <c r="G76" s="107" t="n"/>
    </row>
    <row r="77" ht="15.75" customHeight="1" s="122">
      <c r="A77" s="107" t="n"/>
      <c r="B77" s="107" t="n"/>
      <c r="C77" s="107" t="n"/>
      <c r="D77" s="107" t="n"/>
      <c r="E77" s="107" t="n"/>
      <c r="F77" s="107" t="n"/>
      <c r="G77" s="107" t="n"/>
    </row>
    <row r="78" ht="15.75" customHeight="1" s="122">
      <c r="A78" s="107" t="n"/>
      <c r="B78" s="107" t="n"/>
      <c r="C78" s="107" t="n"/>
      <c r="D78" s="107" t="n"/>
      <c r="E78" s="107" t="n"/>
      <c r="F78" s="107" t="n"/>
      <c r="G78" s="107" t="n"/>
    </row>
    <row r="79" ht="15.75" customHeight="1" s="122">
      <c r="A79" s="107" t="n"/>
      <c r="B79" s="107" t="n"/>
      <c r="C79" s="107" t="n"/>
      <c r="D79" s="107" t="n"/>
      <c r="E79" s="107" t="n"/>
      <c r="F79" s="107" t="n"/>
      <c r="G79" s="107" t="n"/>
    </row>
    <row r="80" ht="15.75" customHeight="1" s="122">
      <c r="A80" s="107" t="n"/>
      <c r="B80" s="107" t="n"/>
      <c r="C80" s="107" t="n"/>
      <c r="D80" s="107" t="n"/>
      <c r="E80" s="107" t="n"/>
      <c r="F80" s="107" t="n"/>
      <c r="G80" s="107" t="n"/>
    </row>
    <row r="81" ht="15.75" customHeight="1" s="122">
      <c r="A81" s="107" t="n"/>
      <c r="B81" s="107" t="n"/>
      <c r="C81" s="107" t="n"/>
      <c r="D81" s="107" t="n"/>
      <c r="E81" s="107" t="n"/>
      <c r="F81" s="107" t="n"/>
      <c r="G81" s="107" t="n"/>
    </row>
    <row r="82" ht="15.75" customHeight="1" s="122">
      <c r="A82" s="107" t="n"/>
      <c r="B82" s="107" t="n"/>
      <c r="C82" s="107" t="n"/>
      <c r="D82" s="107" t="n"/>
      <c r="E82" s="107" t="n"/>
      <c r="F82" s="107" t="n"/>
      <c r="G82" s="107" t="n"/>
    </row>
    <row r="83" ht="15.75" customHeight="1" s="122">
      <c r="A83" s="107" t="n"/>
      <c r="B83" s="107" t="n"/>
      <c r="C83" s="107" t="n"/>
      <c r="D83" s="107" t="n"/>
      <c r="E83" s="107" t="n"/>
      <c r="F83" s="107" t="n"/>
      <c r="G83" s="107" t="n"/>
    </row>
    <row r="84" ht="15.75" customHeight="1" s="122">
      <c r="A84" s="107" t="n"/>
      <c r="B84" s="107" t="n"/>
      <c r="C84" s="107" t="n"/>
      <c r="D84" s="107" t="n"/>
      <c r="E84" s="107" t="n"/>
      <c r="F84" s="107" t="n"/>
      <c r="G84" s="107" t="n"/>
    </row>
    <row r="85" ht="15.75" customHeight="1" s="122">
      <c r="A85" s="107" t="n"/>
      <c r="B85" s="107" t="n"/>
      <c r="C85" s="107" t="n"/>
      <c r="D85" s="107" t="n"/>
      <c r="E85" s="107" t="n"/>
      <c r="F85" s="107" t="n"/>
      <c r="G85" s="107" t="n"/>
    </row>
    <row r="86" ht="15.75" customHeight="1" s="122">
      <c r="A86" s="107" t="n"/>
      <c r="B86" s="107" t="n"/>
      <c r="C86" s="107" t="n"/>
      <c r="D86" s="107" t="n"/>
      <c r="E86" s="107" t="n"/>
      <c r="F86" s="107" t="n"/>
      <c r="G86" s="107" t="n"/>
    </row>
    <row r="87" ht="15.75" customHeight="1" s="122">
      <c r="A87" s="107" t="n"/>
      <c r="B87" s="107" t="n"/>
      <c r="C87" s="107" t="n"/>
      <c r="D87" s="107" t="n"/>
      <c r="E87" s="107" t="n"/>
      <c r="F87" s="107" t="n"/>
      <c r="G87" s="107" t="n"/>
    </row>
    <row r="88" ht="15.75" customHeight="1" s="122">
      <c r="A88" s="107" t="n"/>
      <c r="B88" s="107" t="n"/>
      <c r="C88" s="107" t="n"/>
      <c r="D88" s="107" t="n"/>
      <c r="E88" s="107" t="n"/>
      <c r="F88" s="107" t="n"/>
      <c r="G88" s="107" t="n"/>
    </row>
    <row r="89" ht="15.75" customHeight="1" s="122">
      <c r="A89" s="107" t="n"/>
      <c r="B89" s="107" t="n"/>
      <c r="C89" s="107" t="n"/>
      <c r="D89" s="107" t="n"/>
      <c r="E89" s="107" t="n"/>
      <c r="F89" s="107" t="n"/>
      <c r="G89" s="107" t="n"/>
    </row>
    <row r="90" ht="15.75" customHeight="1" s="122">
      <c r="A90" s="107" t="n"/>
      <c r="B90" s="107" t="n"/>
      <c r="C90" s="107" t="n"/>
      <c r="D90" s="107" t="n"/>
      <c r="E90" s="107" t="n"/>
      <c r="F90" s="107" t="n"/>
      <c r="G90" s="107" t="n"/>
    </row>
    <row r="91" ht="15.75" customHeight="1" s="122">
      <c r="A91" s="107" t="n"/>
      <c r="B91" s="107" t="n"/>
      <c r="C91" s="107" t="n"/>
      <c r="D91" s="107" t="n"/>
      <c r="E91" s="107" t="n"/>
      <c r="F91" s="107" t="n"/>
      <c r="G91" s="107" t="n"/>
    </row>
    <row r="92" ht="15.75" customHeight="1" s="122">
      <c r="A92" s="107" t="n"/>
      <c r="B92" s="107" t="n"/>
      <c r="C92" s="107" t="n"/>
      <c r="D92" s="107" t="n"/>
      <c r="E92" s="107" t="n"/>
      <c r="F92" s="107" t="n"/>
      <c r="G92" s="107" t="n"/>
    </row>
    <row r="93" ht="15.75" customHeight="1" s="122">
      <c r="A93" s="107" t="n"/>
      <c r="B93" s="107" t="n"/>
      <c r="C93" s="107" t="n"/>
      <c r="D93" s="107" t="n"/>
      <c r="E93" s="107" t="n"/>
      <c r="F93" s="107" t="n"/>
      <c r="G93" s="107" t="n"/>
    </row>
    <row r="94" ht="15.75" customHeight="1" s="122">
      <c r="A94" s="107" t="n"/>
      <c r="B94" s="107" t="n"/>
      <c r="C94" s="107" t="n"/>
      <c r="D94" s="107" t="n"/>
      <c r="E94" s="107" t="n"/>
      <c r="F94" s="107" t="n"/>
      <c r="G94" s="107" t="n"/>
    </row>
    <row r="95" ht="15.75" customHeight="1" s="122">
      <c r="A95" s="107" t="n"/>
      <c r="B95" s="107" t="n"/>
      <c r="C95" s="107" t="n"/>
      <c r="D95" s="107" t="n"/>
      <c r="E95" s="107" t="n"/>
      <c r="F95" s="107" t="n"/>
      <c r="G95" s="107" t="n"/>
    </row>
    <row r="96" ht="15.75" customHeight="1" s="122"/>
    <row r="97" ht="15.75" customHeight="1" s="122"/>
    <row r="98" ht="15.75" customHeight="1" s="122"/>
    <row r="99" ht="15.75" customHeight="1" s="122"/>
    <row r="100" ht="15.75" customHeight="1" s="122"/>
    <row r="101" ht="15.75" customHeight="1" s="122"/>
    <row r="102" ht="15.75" customHeight="1" s="122"/>
    <row r="103" ht="15.75" customHeight="1" s="122"/>
    <row r="104" ht="15.75" customHeight="1" s="122"/>
    <row r="105" ht="15.75" customHeight="1" s="122"/>
    <row r="106" ht="15.75" customHeight="1" s="122"/>
    <row r="107" ht="15.75" customHeight="1" s="122"/>
    <row r="108" ht="15.75" customHeight="1" s="122"/>
    <row r="109" ht="15.75" customHeight="1" s="122"/>
    <row r="110" ht="15.75" customHeight="1" s="122"/>
    <row r="111" ht="15.75" customHeight="1" s="122"/>
    <row r="112" ht="15.75" customHeight="1" s="122"/>
    <row r="113" ht="15.75" customHeight="1" s="122"/>
    <row r="114" ht="15.75" customHeight="1" s="122"/>
    <row r="115" ht="15.75" customHeight="1" s="122"/>
    <row r="116" ht="15.75" customHeight="1" s="122"/>
    <row r="117" ht="15.75" customHeight="1" s="122"/>
    <row r="118" ht="15.75" customHeight="1" s="122"/>
    <row r="119" ht="15.75" customHeight="1" s="122"/>
    <row r="120" ht="15.75" customHeight="1" s="122"/>
    <row r="121" ht="15.75" customHeight="1" s="122"/>
    <row r="122" ht="15.75" customHeight="1" s="122"/>
    <row r="123" ht="15.75" customHeight="1" s="122"/>
    <row r="124" ht="15.75" customHeight="1" s="122"/>
    <row r="125" ht="15.75" customHeight="1" s="122"/>
    <row r="126" ht="15.75" customHeight="1" s="122"/>
    <row r="127" ht="15.75" customHeight="1" s="122"/>
    <row r="128" ht="15.75" customHeight="1" s="122"/>
    <row r="129" ht="15.75" customHeight="1" s="122"/>
    <row r="130" ht="15.75" customHeight="1" s="122"/>
    <row r="131" ht="15.75" customHeight="1" s="122"/>
    <row r="132" ht="15.75" customHeight="1" s="122"/>
    <row r="133" ht="15.75" customHeight="1" s="122"/>
    <row r="134" ht="15.75" customHeight="1" s="122"/>
    <row r="135" ht="15.75" customHeight="1" s="122"/>
    <row r="136" ht="15.75" customHeight="1" s="122"/>
    <row r="137" ht="15.75" customHeight="1" s="122"/>
    <row r="138" ht="15.75" customHeight="1" s="122"/>
    <row r="139" ht="15.75" customHeight="1" s="122"/>
    <row r="140" ht="15.75" customHeight="1" s="122"/>
    <row r="141" ht="15.75" customHeight="1" s="122"/>
    <row r="142" ht="15.75" customHeight="1" s="122"/>
    <row r="143" ht="15.75" customHeight="1" s="122"/>
    <row r="144" ht="15.75" customHeight="1" s="122"/>
    <row r="145" ht="15.75" customHeight="1" s="122"/>
    <row r="146" ht="15.75" customHeight="1" s="122"/>
    <row r="147" ht="15.75" customHeight="1" s="122"/>
    <row r="148" ht="15.75" customHeight="1" s="122"/>
    <row r="149" ht="15.75" customHeight="1" s="122"/>
    <row r="150" ht="15.75" customHeight="1" s="122"/>
    <row r="151" ht="15.75" customHeight="1" s="122"/>
    <row r="152" ht="15.75" customHeight="1" s="122"/>
    <row r="153" ht="15.75" customHeight="1" s="122"/>
    <row r="154" ht="15.75" customHeight="1" s="122"/>
    <row r="155" ht="15.75" customHeight="1" s="122"/>
    <row r="156" ht="15.75" customHeight="1" s="122"/>
    <row r="157" ht="15.75" customHeight="1" s="122"/>
    <row r="158" ht="15.75" customHeight="1" s="122"/>
    <row r="159" ht="15.75" customHeight="1" s="122"/>
    <row r="160" ht="15.75" customHeight="1" s="122"/>
    <row r="161" ht="15.75" customHeight="1" s="122"/>
    <row r="162" ht="15.75" customHeight="1" s="122"/>
    <row r="163" ht="15.75" customHeight="1" s="122"/>
    <row r="164" ht="15.75" customHeight="1" s="122"/>
    <row r="165" ht="15.75" customHeight="1" s="122"/>
    <row r="166" ht="15.75" customHeight="1" s="122"/>
    <row r="167" ht="15.75" customHeight="1" s="122"/>
    <row r="168" ht="15.75" customHeight="1" s="122"/>
    <row r="169" ht="15.75" customHeight="1" s="122"/>
    <row r="170" ht="15.75" customHeight="1" s="122"/>
    <row r="171" ht="15.75" customHeight="1" s="122"/>
    <row r="172" ht="15.75" customHeight="1" s="122"/>
    <row r="173" ht="15.75" customHeight="1" s="122"/>
    <row r="174" ht="15.75" customHeight="1" s="122"/>
    <row r="175" ht="15.75" customHeight="1" s="122"/>
    <row r="176" ht="15.75" customHeight="1" s="122"/>
    <row r="177" ht="15.75" customHeight="1" s="122"/>
    <row r="178" ht="15.75" customHeight="1" s="122"/>
    <row r="179" ht="15.75" customHeight="1" s="122"/>
    <row r="180" ht="15.75" customHeight="1" s="122"/>
    <row r="181" ht="15.75" customHeight="1" s="122"/>
    <row r="182" ht="15.75" customHeight="1" s="122"/>
    <row r="183" ht="15.75" customHeight="1" s="122"/>
    <row r="184" ht="15.75" customHeight="1" s="122"/>
    <row r="185" ht="15.75" customHeight="1" s="122"/>
    <row r="186" ht="15.75" customHeight="1" s="122"/>
    <row r="187" ht="15.75" customHeight="1" s="122"/>
    <row r="188" ht="15.75" customHeight="1" s="122"/>
    <row r="189" ht="15.75" customHeight="1" s="122"/>
    <row r="190" ht="15.75" customHeight="1" s="122"/>
    <row r="191" ht="15.75" customHeight="1" s="122"/>
    <row r="192" ht="15.75" customHeight="1" s="122"/>
    <row r="193" ht="15.75" customHeight="1" s="122"/>
    <row r="194" ht="15.75" customHeight="1" s="122"/>
    <row r="195" ht="15.75" customHeight="1" s="122"/>
    <row r="196" ht="15.75" customHeight="1" s="122"/>
    <row r="197" ht="15.75" customHeight="1" s="122"/>
    <row r="198" ht="15.75" customHeight="1" s="122"/>
    <row r="199" ht="15.75" customHeight="1" s="122"/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5"/>
    <col width="26.796875" customWidth="1" style="122" min="6" max="7"/>
    <col width="12.59765625" customWidth="1" style="122" min="8" max="16384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n"/>
      <c r="B2" s="58" t="n"/>
      <c r="C2" s="59" t="n"/>
      <c r="D2" s="59" t="n"/>
      <c r="E2" s="59" t="n"/>
      <c r="F2" s="58" t="n"/>
      <c r="G2" s="58" t="n"/>
    </row>
    <row r="3" ht="15.75" customHeight="1" s="122">
      <c r="A3" s="57" t="n"/>
      <c r="B3" s="58" t="n"/>
      <c r="C3" s="59" t="n"/>
      <c r="D3" s="59" t="n"/>
      <c r="E3" s="59" t="n"/>
      <c r="F3" s="58" t="n"/>
      <c r="G3" s="58" t="n"/>
    </row>
    <row r="4" ht="15.75" customHeight="1" s="122">
      <c r="A4" s="57" t="n"/>
      <c r="B4" s="58" t="n"/>
      <c r="C4" s="59" t="n"/>
      <c r="D4" s="59" t="n"/>
      <c r="E4" s="59" t="n"/>
      <c r="F4" s="58" t="n"/>
      <c r="G4" s="58" t="n"/>
    </row>
    <row r="5" ht="15.75" customHeight="1" s="122">
      <c r="A5" s="57" t="n"/>
      <c r="B5" s="58" t="n"/>
      <c r="C5" s="59" t="n"/>
      <c r="D5" s="59" t="n"/>
      <c r="E5" s="59" t="n"/>
      <c r="F5" s="58" t="n"/>
      <c r="G5" s="58" t="n"/>
    </row>
    <row r="6" ht="15.75" customHeight="1" s="122">
      <c r="A6" s="57" t="n"/>
      <c r="B6" s="58" t="n"/>
      <c r="C6" s="59" t="n"/>
      <c r="D6" s="59" t="n"/>
      <c r="E6" s="59" t="n"/>
      <c r="F6" s="58" t="n"/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4"/>
    <col width="35.59765625" customWidth="1" style="122" min="5" max="5"/>
    <col width="26.796875" customWidth="1" style="122" min="6" max="6"/>
    <col width="26.796875" customWidth="1" style="122" min="7" max="7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165" t="inlineStr">
        <is>
          <t>TC_UCDM12_FUNC_01</t>
        </is>
      </c>
      <c r="B2" s="165" t="inlineStr">
        <is>
          <t>Verify Thêm mới thành công (Boundary min - 1 ký tự)</t>
        </is>
      </c>
      <c r="C2" s="166" t="inlineStr">
        <is>
          <t>1. [Environment] Chrome browser.
2. [System Config] Popup Thêm mới.</t>
        </is>
      </c>
      <c r="D2" s="166" t="inlineStr">
        <is>
          <t>1. [Input] "Mã sân bay" = "A".
2. [Input] "Sân bay" = "B".
3. [Click] button "Thêm mới".</t>
        </is>
      </c>
      <c r="E2" s="166" t="inlineStr">
        <is>
          <t>1. [UI] Toast "Thêm mới [A - B] thành công.".
2. [DB] Record được lưu.</t>
        </is>
      </c>
      <c r="F2" s="165" t="inlineStr">
        <is>
          <t>P0</t>
        </is>
      </c>
      <c r="G2" s="165" t="inlineStr"/>
    </row>
    <row r="3" ht="15.75" customHeight="1" s="122">
      <c r="A3" s="165" t="inlineStr">
        <is>
          <t>TC_UCDM12_FUNC_02</t>
        </is>
      </c>
      <c r="B3" s="165" t="inlineStr">
        <is>
          <t>Verify Thêm mới thành công (Boundary max - 255 ký tự)</t>
        </is>
      </c>
      <c r="C3" s="166" t="inlineStr">
        <is>
          <t>1. [Environment] Chrome browser.
2. [System Config] Popup Thêm mới.</t>
        </is>
      </c>
      <c r="D3" s="166" t="inlineStr">
        <is>
          <t>1. [Input] "Mã sân bay" = "{{string_255}}".
2. [Input] "Sân bay" = "{{string_255}}".
3. [Click] button "Thêm mới".</t>
        </is>
      </c>
      <c r="E3" s="166" t="inlineStr">
        <is>
          <t>1. [UI] Toast thành công.
2. [DB] Record được lưu với đúng 255 ký tự.</t>
        </is>
      </c>
      <c r="F3" s="165" t="inlineStr">
        <is>
          <t>P0</t>
        </is>
      </c>
      <c r="G3" s="165" t="inlineStr"/>
    </row>
    <row r="4" ht="15.75" customHeight="1" s="122">
      <c r="A4" s="165" t="inlineStr">
        <is>
          <t>TC_UCDM12_FUNC_03</t>
        </is>
      </c>
      <c r="B4" s="165" t="inlineStr">
        <is>
          <t>Verify Truncate ký tự thừa khi paste &gt; 255</t>
        </is>
      </c>
      <c r="C4" s="166" t="inlineStr">
        <is>
          <t>1. [Environment] Chrome browser.
2. [System Config] Popup Thêm mới.</t>
        </is>
      </c>
      <c r="D4" s="166" t="inlineStr">
        <is>
          <t>1. [Input] "Mã sân bay" paste 256 ký tự.</t>
        </is>
      </c>
      <c r="E4" s="166" t="inlineStr">
        <is>
          <t>1. [UI] Input tự động cắt bớt chỉ còn 255 ký tự.</t>
        </is>
      </c>
      <c r="F4" s="165" t="inlineStr">
        <is>
          <t>P1</t>
        </is>
      </c>
      <c r="G4" s="165" t="inlineStr"/>
    </row>
    <row r="5" ht="15.75" customHeight="1" s="122">
      <c r="A5" s="165" t="inlineStr">
        <is>
          <t>TC_UCDM12_FUNC_04</t>
        </is>
      </c>
      <c r="B5" s="165" t="inlineStr">
        <is>
          <t>Verify Validation bỏ trống</t>
        </is>
      </c>
      <c r="C5" s="166" t="inlineStr">
        <is>
          <t>1. [Environment] Chrome browser.
2. [System Config] Popup Thêm mới.</t>
        </is>
      </c>
      <c r="D5" s="166" t="inlineStr">
        <is>
          <t>1. [Click] button "Thêm mới" (các ô trống).</t>
        </is>
      </c>
      <c r="E5" s="166" t="inlineStr">
        <is>
          <t>1. [UI] Bôi đỏ ô Mã và Tên. Hiển thị thông báo "Mã sân bay là trường bắt buộc" và "Sân bay là trường bắt buộc".</t>
        </is>
      </c>
      <c r="F5" s="165" t="inlineStr">
        <is>
          <t>P1</t>
        </is>
      </c>
      <c r="G5" s="165" t="inlineStr"/>
    </row>
    <row r="6" ht="15.75" customHeight="1" s="122">
      <c r="A6" s="165" t="inlineStr">
        <is>
          <t>TC_UCDM12_FUNC_05</t>
        </is>
      </c>
      <c r="B6" s="165" t="inlineStr">
        <is>
          <t>Verify Validation trùng Mã sân bay</t>
        </is>
      </c>
      <c r="C6" s="166" t="inlineStr">
        <is>
          <t>1. [Data State] Mã sân bay "HAN" đã có.
2. [System Config] Popup Thêm mới.</t>
        </is>
      </c>
      <c r="D6" s="166" t="inlineStr">
        <is>
          <t>1. [Input] "Mã sân bay" = "HAN".
2. [Input] "Sân bay" = "Test".
3. [Click] "Thêm mới".</t>
        </is>
      </c>
      <c r="E6" s="166" t="inlineStr">
        <is>
          <t>1. [UI] Báo lỗi "Mã sân bay đã tồn tại" dưới input.</t>
        </is>
      </c>
      <c r="F6" s="165" t="inlineStr">
        <is>
          <t>P1</t>
        </is>
      </c>
      <c r="G6" s="165" t="inlineStr"/>
    </row>
    <row r="7" ht="15.75" customHeight="1" s="122">
      <c r="A7" s="165" t="inlineStr">
        <is>
          <t>TC_UCDM12_FUNC_06</t>
        </is>
      </c>
      <c r="B7" s="165" t="inlineStr">
        <is>
          <t>Verify Thêm lại Mã sân bay đã bị xóa mềm</t>
        </is>
      </c>
      <c r="C7" s="166" t="inlineStr">
        <is>
          <t>1. [Data State] Mã sân bay "OLD" đã bị xóa trước đó.
2. [System Config] Popup Thêm mới.</t>
        </is>
      </c>
      <c r="D7" s="166" t="inlineStr">
        <is>
          <t>1. [Input] "Mã sân bay" = "OLD".
2. [Input] "Sân bay" = "Test".
3. [Click] "Thêm mới".</t>
        </is>
      </c>
      <c r="E7" s="166" t="inlineStr">
        <is>
          <t>1. [UI] Toast thành công.
2. [DB] Tạo mới record thành công.</t>
        </is>
      </c>
      <c r="F7" s="165" t="inlineStr">
        <is>
          <t>P0</t>
        </is>
      </c>
      <c r="G7" s="165" t="inlineStr"/>
    </row>
    <row r="8" ht="15.75" customHeight="1" s="122">
      <c r="A8" s="165" t="inlineStr">
        <is>
          <t>TC_UCDM12_FUNC_07</t>
        </is>
      </c>
      <c r="B8" s="165" t="inlineStr">
        <is>
          <t>Verify Trim khoảng trắng khi Thêm mới</t>
        </is>
      </c>
      <c r="C8" s="166" t="inlineStr">
        <is>
          <t>1. [System Config] Popup Thêm mới.</t>
        </is>
      </c>
      <c r="D8" s="166" t="inlineStr">
        <is>
          <t>1. [Input] "Mã sân bay" = "  SGN  ".
2. [Input] "Sân bay" = " Tân Sơn Nhất ".
3. [Click] "Thêm mới".</t>
        </is>
      </c>
      <c r="E8" s="166" t="inlineStr">
        <is>
          <t>1. [UI] Toast "Thêm mới [SGN - Tân Sơn Nhất] thành công.".
2. [DB] Lưu không có khoảng trắng thừa.</t>
        </is>
      </c>
      <c r="F8" s="165" t="inlineStr">
        <is>
          <t>P1</t>
        </is>
      </c>
      <c r="G8" s="165" t="inlineStr"/>
    </row>
    <row r="9" ht="15.75" customHeight="1" s="122">
      <c r="A9" s="165" t="inlineStr">
        <is>
          <t>TC_UCDM12_FUNC_08</t>
        </is>
      </c>
      <c r="B9" s="165" t="inlineStr">
        <is>
          <t>Verify Cập nhật Tên sân bay thành công</t>
        </is>
      </c>
      <c r="C9" s="166" t="inlineStr">
        <is>
          <t>1. [Data State] Tồn tại sân bay "HAN".
2. [System Config] Popup Sửa sân bay "HAN".</t>
        </is>
      </c>
      <c r="D9" s="166" t="inlineStr">
        <is>
          <t>1. [Verify] input "Mã sân bay" is Read-only.
2. [Input] "Sân bay" = "Nội Bài Update".
3. [Click] "Cập nhật".</t>
        </is>
      </c>
      <c r="E9" s="166" t="inlineStr">
        <is>
          <t>1. [UI] Toast "Cập nhật [HAN - Nội Bài Update] thành công.".</t>
        </is>
      </c>
      <c r="F9" s="165" t="inlineStr">
        <is>
          <t>P0</t>
        </is>
      </c>
      <c r="G9" s="165" t="inlineStr"/>
    </row>
    <row r="10" ht="15.75" customHeight="1" s="122">
      <c r="A10" s="165" t="inlineStr">
        <is>
          <t>TC_UCDM12_FUNC_09</t>
        </is>
      </c>
      <c r="B10" s="165" t="inlineStr">
        <is>
          <t>Verify Cập nhật thất bại khi Tên sân bay là khoảng trắng</t>
        </is>
      </c>
      <c r="C10" s="166" t="inlineStr">
        <is>
          <t>1. [System Config] Popup Sửa sân bay.</t>
        </is>
      </c>
      <c r="D10" s="166" t="inlineStr">
        <is>
          <t>1. [Input] "Sân bay" = "   ".
2. [Click] "Cập nhật".</t>
        </is>
      </c>
      <c r="E10" s="166" t="inlineStr">
        <is>
          <t>1. [UI] Hiển thị "Sân bay là trường bắt buộc".</t>
        </is>
      </c>
      <c r="F10" s="165" t="inlineStr">
        <is>
          <t>P1</t>
        </is>
      </c>
      <c r="G10" s="165" t="inlineStr"/>
    </row>
    <row r="11" ht="15.75" customHeight="1" s="122">
      <c r="A11" s="165" t="inlineStr">
        <is>
          <t>TC_UCDM12_FUNC_10</t>
        </is>
      </c>
      <c r="B11" s="165" t="inlineStr">
        <is>
          <t>Verify Xóa thành công</t>
        </is>
      </c>
      <c r="C11" s="166" t="inlineStr">
        <is>
          <t>1. [Data State] Sân bay "TEST_DEL" không gán phòng chờ.
2. [System Config] Màn hình danh mục.</t>
        </is>
      </c>
      <c r="D11" s="166" t="inlineStr">
        <is>
          <t>1. [Click] Xóa -&gt; [Click] Xác nhận.</t>
        </is>
      </c>
      <c r="E11" s="166" t="inlineStr">
        <is>
          <t>1. [UI] Toast "Xóa [TEST_DEL - ...] và các phòng chờ liên quan thành công.".
2. [DB] Soft-delete.</t>
        </is>
      </c>
      <c r="F11" s="165" t="inlineStr">
        <is>
          <t>P0</t>
        </is>
      </c>
      <c r="G11" s="165" t="inlineStr"/>
    </row>
    <row r="12" ht="15.75" customHeight="1" s="122">
      <c r="A12" s="165" t="inlineStr">
        <is>
          <t>TC_UCDM12_FUNC_11</t>
        </is>
      </c>
      <c r="B12" s="165" t="inlineStr">
        <is>
          <t>Verify Chặn Xóa sân bay đang được sử dụng</t>
        </is>
      </c>
      <c r="C12" s="166" t="inlineStr">
        <is>
          <t>1. [Data State] Sân bay "HAN" đang có gán phòng chờ.
2. [System Config] Màn hình danh mục.</t>
        </is>
      </c>
      <c r="D12" s="166" t="inlineStr">
        <is>
          <t>1. [Click] Xóa -&gt; [Click] Xác nhận.</t>
        </is>
      </c>
      <c r="E12" s="166" t="inlineStr">
        <is>
          <t>1. [UI] Toast lỗi "Không thể xóa khi sân bay đang được sử dụng.".</t>
        </is>
      </c>
      <c r="F12" s="165" t="inlineStr">
        <is>
          <t>P1</t>
        </is>
      </c>
      <c r="G12" s="165" t="inlineStr"/>
    </row>
    <row r="13" ht="15.75" customHeight="1" s="122">
      <c r="A13" s="165" t="inlineStr">
        <is>
          <t>TC_UCDM12_FUNC_12</t>
        </is>
      </c>
      <c r="B13" s="165" t="inlineStr">
        <is>
          <t>Verify Search đúng mã sân bay</t>
        </is>
      </c>
      <c r="C13" s="166" t="inlineStr">
        <is>
          <t>1. [System Config] Bảng danh mục.</t>
        </is>
      </c>
      <c r="D13" s="166" t="inlineStr">
        <is>
          <t>1. [Input] "HAN" vào ô tìm kiếm Mã sân bay.
2. [Click] Enter.</t>
        </is>
      </c>
      <c r="E13" s="166" t="inlineStr">
        <is>
          <t>1. [UI] Bảng hiển thị 1 bản ghi "HAN".</t>
        </is>
      </c>
      <c r="F13" s="165" t="inlineStr">
        <is>
          <t>P1</t>
        </is>
      </c>
      <c r="G13" s="165" t="inlineStr"/>
    </row>
    <row r="14" ht="15.75" customHeight="1" s="122">
      <c r="A14" s="165" t="inlineStr">
        <is>
          <t>TC_UCDM12_FUNC_13</t>
        </is>
      </c>
      <c r="B14" s="165" t="inlineStr">
        <is>
          <t>Verify Search không kết quả</t>
        </is>
      </c>
      <c r="C14" s="166" t="inlineStr">
        <is>
          <t>1. [System Config] Bảng danh mục.</t>
        </is>
      </c>
      <c r="D14" s="166" t="inlineStr">
        <is>
          <t>1. [Input] "XXXXXX" vào ô tìm kiếm.
2. [Click] Enter.</t>
        </is>
      </c>
      <c r="E14" s="166" t="inlineStr">
        <is>
          <t>1. [UI] Bảng hiển thị "[Không có dữ liệu hoặc không có kết quả tìm kiếm]".</t>
        </is>
      </c>
      <c r="F14" s="165" t="inlineStr">
        <is>
          <t>P1</t>
        </is>
      </c>
      <c r="G14" s="165" t="inlineStr"/>
    </row>
    <row r="15" ht="15.75" customHeight="1" s="122">
      <c r="A15" s="165" t="inlineStr">
        <is>
          <t>TC_UCDM12_FUNC_14</t>
        </is>
      </c>
      <c r="B15" s="165" t="inlineStr">
        <is>
          <t>Verify Giữ điều kiện search sau khi Thêm mới</t>
        </is>
      </c>
      <c r="C15" s="166" t="inlineStr">
        <is>
          <t>1. [Data State] Đang search mã "SGN".</t>
        </is>
      </c>
      <c r="D15" s="166" t="inlineStr">
        <is>
          <t>1. [Click] Thêm mới -&gt; Thêm thành công sân bay "SGN2".</t>
        </is>
      </c>
      <c r="E15" s="166" t="inlineStr">
        <is>
          <t>1. [UI] Sau khi popup đóng, ô search vẫn giữ "SGN", bảng load lại hiện cả SGN và SGN2.</t>
        </is>
      </c>
      <c r="F15" s="165" t="inlineStr">
        <is>
          <t>P2</t>
        </is>
      </c>
      <c r="G15" s="165" t="inlineStr"/>
    </row>
    <row r="16" ht="15.75" customHeight="1" s="122">
      <c r="A16" s="165" t="inlineStr">
        <is>
          <t>TC_UCDM12_FUNC_15</t>
        </is>
      </c>
      <c r="B16" s="165" t="inlineStr">
        <is>
          <t>Verify Tích hợp module Phòng chờ (Sync Create)</t>
        </is>
      </c>
      <c r="C16" s="166" t="inlineStr">
        <is>
          <t>1. [Data State] Thêm sân bay "DAD" thành công.</t>
        </is>
      </c>
      <c r="D16" s="166" t="inlineStr">
        <is>
          <t>1. [Navigate] Module Phòng chờ -&gt; Tạo mới.
2. [Click] Dropdown Mã sân bay.</t>
        </is>
      </c>
      <c r="E16" s="166" t="inlineStr">
        <is>
          <t>1. [UI] "DAD" hiển thị trong dropdown.</t>
        </is>
      </c>
      <c r="F16" s="165" t="inlineStr">
        <is>
          <t>P0</t>
        </is>
      </c>
      <c r="G16" s="165" t="inlineStr"/>
    </row>
    <row r="17" ht="15.75" customHeight="1" s="122">
      <c r="A17" s="165" t="inlineStr">
        <is>
          <t>TC_UCDM12_FUNC_16</t>
        </is>
      </c>
      <c r="B17" s="165" t="inlineStr">
        <is>
          <t>Verify Tích hợp module Phòng chờ (Sync Edit)</t>
        </is>
      </c>
      <c r="C17" s="166" t="inlineStr">
        <is>
          <t>1. [Data State] Đổi tên "DAD" thành "Đà Nẵng".</t>
        </is>
      </c>
      <c r="D17" s="166" t="inlineStr">
        <is>
          <t>1. [Navigate] Module Phòng chờ.</t>
        </is>
      </c>
      <c r="E17" s="166" t="inlineStr">
        <is>
          <t>1. [UI] Dropdown Sân bay hiển thị "Đà Nẵng".</t>
        </is>
      </c>
      <c r="F17" s="165" t="inlineStr">
        <is>
          <t>P0</t>
        </is>
      </c>
      <c r="G17" s="165" t="inlineStr"/>
    </row>
    <row r="18" ht="15.75" customHeight="1" s="122">
      <c r="A18" s="165" t="inlineStr">
        <is>
          <t>TC_UCDM12_FUNC_17</t>
        </is>
      </c>
      <c r="B18" s="165" t="inlineStr">
        <is>
          <t>Verify Xung đột dữ liệu - 1 Sửa 1 Xóa đồng thời</t>
        </is>
      </c>
      <c r="C18" s="166" t="inlineStr">
        <is>
          <t>1. [Data State] User A mở màn Sửa "HAN". User B xóa "HAN" thành công.</t>
        </is>
      </c>
      <c r="D18" s="166" t="inlineStr">
        <is>
          <t>1. User A [Input] tên mới -&gt; [Click] Cập nhật.</t>
        </is>
      </c>
      <c r="E18" s="166" t="inlineStr">
        <is>
          <t>1. [UI] Toast CMR-13 "Không tìm thấy dữ liệu - Bản ghi có thể đã bị xóa hoặc không còn khả dụng.".</t>
        </is>
      </c>
      <c r="F18" s="165" t="inlineStr">
        <is>
          <t>P1</t>
        </is>
      </c>
      <c r="G18" s="165" t="inlineStr"/>
    </row>
    <row r="19" ht="15.75" customHeight="1" s="122">
      <c r="A19" s="165" t="inlineStr">
        <is>
          <t>TC_UCDM12_FUNC_18</t>
        </is>
      </c>
      <c r="B19" s="165" t="inlineStr">
        <is>
          <t>Verify RBAC View Role</t>
        </is>
      </c>
      <c r="C19" s="166" t="inlineStr">
        <is>
          <t>1. [Auth] Login View Role.</t>
        </is>
      </c>
      <c r="D19" s="166" t="inlineStr">
        <is>
          <t>1. [Navigate] "Danh mục sân bay".</t>
        </is>
      </c>
      <c r="E19" s="166" t="inlineStr">
        <is>
          <t>1. [UI] Không có nút Thêm/Sửa/Xóa. Gọi API Xóa qua console trả về 403.</t>
        </is>
      </c>
      <c r="F19" s="165" t="inlineStr">
        <is>
          <t>P0</t>
        </is>
      </c>
      <c r="G19" s="165" t="inlineStr"/>
    </row>
    <row r="20" ht="15.75" customHeight="1" s="122">
      <c r="A20" s="165" t="inlineStr">
        <is>
          <t>TC_UCDM12_FUNC_19</t>
        </is>
      </c>
      <c r="B20" s="165" t="inlineStr">
        <is>
          <t>Verify Timeout API</t>
        </is>
      </c>
      <c r="C20" s="166" t="inlineStr">
        <is>
          <t>1. [System Config] Thêm mới sân bay (Network throttling &gt; 60s).</t>
        </is>
      </c>
      <c r="D20" s="166" t="inlineStr">
        <is>
          <t>1. [Click] Thêm mới.</t>
        </is>
      </c>
      <c r="E20" s="166" t="inlineStr">
        <is>
          <t>1. [UI] Nút Thêm mới Loading. Sau 60s hiện Toast CMR-12 "Không thể kết nối tới hệ thống...".</t>
        </is>
      </c>
      <c r="F20" s="165" t="inlineStr">
        <is>
          <t>P1</t>
        </is>
      </c>
      <c r="G20" s="165" t="inlineStr"/>
    </row>
    <row r="21" ht="15.75" customHeight="1" s="122">
      <c r="A21" s="165" t="inlineStr">
        <is>
          <t>TC_UCDM12_FUNC_20</t>
        </is>
      </c>
      <c r="B21" s="165" t="inlineStr">
        <is>
          <t>Verify Data Integrity (Unicode &amp; Emoji)</t>
        </is>
      </c>
      <c r="C21" s="166" t="inlineStr">
        <is>
          <t>1. [System Config] Popup Thêm mới.</t>
        </is>
      </c>
      <c r="D21" s="166" t="inlineStr">
        <is>
          <t>1. [Input] "Sân bay" = "Nội Bài ✈️ (Đông Anh)".
2. [Click] Thêm mới.</t>
        </is>
      </c>
      <c r="E21" s="166" t="inlineStr">
        <is>
          <t>1. [DB] DB lưu giữ nguyên ký hiệu Unicode và Emoji.</t>
        </is>
      </c>
      <c r="F21" s="165" t="inlineStr">
        <is>
          <t>P1</t>
        </is>
      </c>
      <c r="G21" s="165" t="inlineStr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E10" sqref="E10"/>
    </sheetView>
  </sheetViews>
  <sheetFormatPr baseColWidth="8" defaultColWidth="14.5" defaultRowHeight="13.8"/>
  <cols>
    <col width="14.5" customWidth="1" style="109" min="1" max="16384"/>
  </cols>
  <sheetData>
    <row r="1" customFormat="1" s="111">
      <c r="A1" s="110" t="inlineStr">
        <is>
          <t>Bug ID</t>
        </is>
      </c>
      <c r="B1" s="110" t="inlineStr">
        <is>
          <t>Created date</t>
        </is>
      </c>
      <c r="C1" s="110" t="inlineStr">
        <is>
          <t>Environment</t>
        </is>
      </c>
      <c r="D1" s="110" t="inlineStr">
        <is>
          <t>Data test</t>
        </is>
      </c>
      <c r="E1" s="110" t="inlineStr">
        <is>
          <t>TC ID</t>
        </is>
      </c>
      <c r="F1" s="110" t="inlineStr">
        <is>
          <t>Bug title</t>
        </is>
      </c>
      <c r="G1" s="110" t="inlineStr">
        <is>
          <t>Precondition</t>
        </is>
      </c>
      <c r="H1" s="110" t="inlineStr">
        <is>
          <t>Steps</t>
        </is>
      </c>
      <c r="I1" s="110" t="inlineStr">
        <is>
          <t>Actual result</t>
        </is>
      </c>
      <c r="J1" s="110" t="inlineStr">
        <is>
          <t>Expected result</t>
        </is>
      </c>
      <c r="K1" s="110" t="inlineStr">
        <is>
          <t>Envidence</t>
        </is>
      </c>
      <c r="L1" s="110" t="inlineStr">
        <is>
          <t>Severity</t>
        </is>
      </c>
      <c r="M1" s="110" t="inlineStr">
        <is>
          <t>Priority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</row>
    <row r="5">
      <c r="A5" s="108" t="n"/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</row>
    <row r="6">
      <c r="A6" s="108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</row>
    <row r="7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</row>
    <row r="8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</row>
    <row r="19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</row>
    <row r="2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</row>
    <row r="2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</row>
    <row r="22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</row>
    <row r="23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</row>
    <row r="24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</row>
    <row r="25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122" min="1" max="1"/>
    <col width="3.3984375" customWidth="1" style="122" min="2" max="2"/>
    <col width="4.09765625" customWidth="1" style="122" min="3" max="3"/>
    <col width="5.59765625" customWidth="1" style="122" min="4" max="6"/>
    <col width="4.8984375" customWidth="1" style="122" min="7" max="7"/>
    <col width="4.19921875" customWidth="1" style="122" min="8" max="8"/>
    <col width="18.3984375" customWidth="1" style="122" min="9" max="13"/>
    <col width="15.19921875" customWidth="1" style="122" min="14" max="14"/>
    <col width="18.3984375" customWidth="1" style="122" min="15" max="22"/>
  </cols>
  <sheetData>
    <row r="1">
      <c r="A1" s="60" t="n"/>
      <c r="B1" s="65" t="n"/>
      <c r="C1" s="62" t="n"/>
      <c r="D1" s="62" t="n"/>
      <c r="E1" s="62" t="n"/>
      <c r="F1" s="62" t="n"/>
      <c r="G1" s="62" t="n"/>
      <c r="H1" s="62" t="n"/>
      <c r="I1" s="62" t="n"/>
      <c r="J1" s="62" t="n"/>
      <c r="K1" s="63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3" t="n"/>
    </row>
    <row r="2">
      <c r="A2" s="64" t="n"/>
      <c r="B2" s="65" t="inlineStr">
        <is>
          <t>A. Pending tab</t>
        </is>
      </c>
      <c r="C2" s="62" t="n"/>
      <c r="D2" s="62" t="n"/>
      <c r="E2" s="62" t="n"/>
      <c r="F2" s="62" t="n"/>
      <c r="G2" s="62" t="n"/>
      <c r="H2" s="62" t="n"/>
      <c r="I2" s="62" t="n"/>
      <c r="J2" s="65" t="n"/>
      <c r="K2" s="63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3" t="n"/>
    </row>
    <row r="3" ht="13.8" customHeight="1" s="122">
      <c r="A3" s="66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3.8" customHeight="1" s="122">
      <c r="A4" s="68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13.8" customHeight="1" s="122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13.8" customHeight="1" s="122">
      <c r="A6" s="66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13.8" customHeight="1" s="122">
      <c r="A7" s="66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13.8" customHeight="1" s="122">
      <c r="A8" s="68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13.8" customHeight="1" s="122">
      <c r="A9" s="66" t="n"/>
      <c r="B9" s="67" t="n"/>
      <c r="C9" s="67" t="n"/>
      <c r="D9" s="67" t="n"/>
      <c r="E9" s="67" t="n"/>
      <c r="F9" s="67" t="n"/>
      <c r="G9" s="67" t="n"/>
      <c r="H9" s="13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13.8" customHeight="1" s="122">
      <c r="A10" s="66" t="n"/>
      <c r="B10" s="67" t="n"/>
      <c r="C10" s="67" t="n"/>
      <c r="D10" s="67" t="n"/>
      <c r="E10" s="67" t="n"/>
      <c r="F10" s="67" t="n"/>
      <c r="G10" s="67" t="n"/>
      <c r="H10" s="70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139" t="n"/>
    </row>
    <row r="11" ht="13.8" customHeight="1" s="122">
      <c r="A11" s="66" t="n"/>
      <c r="B11" s="67" t="n"/>
      <c r="C11" s="67" t="n"/>
      <c r="D11" s="67" t="n"/>
      <c r="E11" s="67" t="n"/>
      <c r="F11" s="67" t="n"/>
      <c r="G11" s="67" t="n"/>
      <c r="H11" s="70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13.8" customHeight="1" s="122">
      <c r="A12" s="66" t="n"/>
      <c r="B12" s="67" t="n"/>
      <c r="C12" s="67" t="n"/>
      <c r="D12" s="67" t="n"/>
      <c r="E12" s="67" t="n"/>
      <c r="F12" s="67" t="n"/>
      <c r="G12" s="67" t="n"/>
      <c r="H12" s="70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13.8" customHeight="1" s="122">
      <c r="A13" s="66" t="n"/>
      <c r="B13" s="67" t="n"/>
      <c r="C13" s="67" t="n"/>
      <c r="D13" s="67" t="n"/>
      <c r="E13" s="67" t="n"/>
      <c r="F13" s="67" t="n"/>
      <c r="G13" s="67" t="n"/>
      <c r="H13" s="70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139" t="n"/>
    </row>
    <row r="14" ht="13.8" customHeight="1" s="122">
      <c r="A14" s="66" t="n"/>
      <c r="B14" s="67" t="n"/>
      <c r="C14" s="67" t="n"/>
      <c r="D14" s="67" t="n"/>
      <c r="E14" s="67" t="n"/>
      <c r="F14" s="67" t="n"/>
      <c r="G14" s="67" t="n"/>
      <c r="H14" s="70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139" t="n"/>
    </row>
    <row r="15" ht="13.8" customHeight="1" s="122">
      <c r="A15" s="66" t="n"/>
      <c r="B15" s="67" t="n"/>
      <c r="C15" s="67" t="n"/>
      <c r="D15" s="67" t="n"/>
      <c r="E15" s="67" t="n"/>
      <c r="F15" s="67" t="n"/>
      <c r="G15" s="67" t="n"/>
      <c r="H15" s="70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139" t="n"/>
    </row>
    <row r="16" ht="13.8" customHeight="1" s="122">
      <c r="A16" s="66" t="n"/>
      <c r="B16" s="67" t="n"/>
      <c r="C16" s="67" t="n"/>
      <c r="D16" s="67" t="n"/>
      <c r="E16" s="67" t="n"/>
      <c r="F16" s="67" t="n"/>
      <c r="G16" s="67" t="n"/>
      <c r="H16" s="70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139" t="n"/>
    </row>
    <row r="17" ht="13.8" customHeight="1" s="122">
      <c r="A17" s="66" t="n"/>
      <c r="B17" s="67" t="n"/>
      <c r="C17" s="67" t="n"/>
      <c r="D17" s="67" t="n"/>
      <c r="E17" s="67" t="n"/>
      <c r="F17" s="67" t="n"/>
      <c r="G17" s="67" t="n"/>
      <c r="H17" s="70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139" t="n"/>
    </row>
    <row r="18" ht="13.8" customHeight="1" s="122">
      <c r="A18" s="66" t="n"/>
      <c r="B18" s="67" t="n"/>
      <c r="C18" s="67" t="n"/>
      <c r="D18" s="67" t="n"/>
      <c r="E18" s="67" t="n"/>
      <c r="F18" s="67" t="n"/>
      <c r="G18" s="67" t="n"/>
      <c r="H18" s="70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139" t="n"/>
    </row>
    <row r="19" ht="13.8" customHeight="1" s="122">
      <c r="A19" s="66" t="n"/>
      <c r="B19" s="67" t="n"/>
      <c r="C19" s="67" t="n"/>
      <c r="D19" s="67" t="n"/>
      <c r="E19" s="67" t="n"/>
      <c r="F19" s="67" t="n"/>
      <c r="G19" s="67" t="n"/>
      <c r="H19" s="70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139" t="n"/>
    </row>
    <row r="20" ht="13.8" customHeight="1" s="122">
      <c r="A20" s="66" t="n"/>
      <c r="B20" s="67" t="n"/>
      <c r="C20" s="67" t="n"/>
      <c r="D20" s="67" t="n"/>
      <c r="E20" s="67" t="n"/>
      <c r="F20" s="67" t="n"/>
      <c r="G20" s="67" t="n"/>
      <c r="H20" s="70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139" t="n"/>
    </row>
    <row r="21" ht="15.75" customHeight="1" s="122">
      <c r="A21" s="66" t="n"/>
      <c r="B21" s="67" t="n"/>
      <c r="C21" s="67" t="n"/>
      <c r="D21" s="67" t="n"/>
      <c r="E21" s="67" t="n"/>
      <c r="F21" s="67" t="n"/>
      <c r="G21" s="67" t="n"/>
      <c r="H21" s="70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139" t="n"/>
    </row>
    <row r="22" ht="15.75" customHeight="1" s="122">
      <c r="A22" s="66" t="n"/>
      <c r="B22" s="67" t="n"/>
      <c r="C22" s="67" t="n"/>
      <c r="D22" s="67" t="n"/>
      <c r="E22" s="67" t="n"/>
      <c r="F22" s="67" t="n"/>
      <c r="G22" s="67" t="n"/>
      <c r="H22" s="70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139" t="n"/>
    </row>
    <row r="23" ht="15.75" customHeight="1" s="122">
      <c r="A23" s="66" t="n"/>
      <c r="B23" s="67" t="n"/>
      <c r="C23" s="67" t="n"/>
      <c r="D23" s="67" t="n"/>
      <c r="E23" s="67" t="n"/>
      <c r="F23" s="67" t="n"/>
      <c r="G23" s="67" t="n"/>
      <c r="H23" s="70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139" t="n"/>
    </row>
    <row r="24" ht="15.75" customHeight="1" s="122">
      <c r="A24" s="66" t="n"/>
      <c r="B24" s="67" t="n"/>
      <c r="C24" s="67" t="n"/>
      <c r="D24" s="67" t="n"/>
      <c r="E24" s="67" t="n"/>
      <c r="F24" s="67" t="n"/>
      <c r="G24" s="67" t="n"/>
      <c r="H24" s="70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139" t="n"/>
    </row>
    <row r="25" ht="15.75" customHeight="1" s="122">
      <c r="A25" s="66" t="n"/>
      <c r="B25" s="67" t="n"/>
      <c r="C25" s="67" t="n"/>
      <c r="D25" s="67" t="n"/>
      <c r="E25" s="67" t="n"/>
      <c r="F25" s="67" t="n"/>
      <c r="G25" s="67" t="n"/>
      <c r="H25" s="70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139" t="n"/>
    </row>
    <row r="26" ht="15.75" customHeight="1" s="122">
      <c r="A26" s="66" t="n"/>
      <c r="B26" s="67" t="n"/>
      <c r="C26" s="67" t="n"/>
      <c r="D26" s="67" t="n"/>
      <c r="E26" s="67" t="n"/>
      <c r="F26" s="67" t="n"/>
      <c r="G26" s="67" t="n"/>
      <c r="H26" s="70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139" t="n"/>
    </row>
    <row r="27" ht="15.75" customHeight="1" s="122">
      <c r="A27" s="66" t="n"/>
      <c r="B27" s="67" t="n"/>
      <c r="C27" s="67" t="n"/>
      <c r="D27" s="67" t="n"/>
      <c r="E27" s="67" t="n"/>
      <c r="F27" s="67" t="n"/>
      <c r="G27" s="67" t="n"/>
      <c r="H27" s="70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139" t="n"/>
    </row>
    <row r="28" ht="15.75" customHeight="1" s="122">
      <c r="A28" s="66" t="n"/>
      <c r="B28" s="67" t="n"/>
      <c r="C28" s="67" t="n"/>
      <c r="D28" s="67" t="n"/>
      <c r="E28" s="67" t="n"/>
      <c r="F28" s="67" t="n"/>
      <c r="G28" s="67" t="n"/>
      <c r="H28" s="70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139" t="n"/>
    </row>
    <row r="29" ht="15.75" customHeight="1" s="122">
      <c r="A29" s="66" t="n"/>
      <c r="B29" s="71" t="n"/>
      <c r="C29" s="67" t="n"/>
      <c r="D29" s="67" t="n"/>
      <c r="E29" s="67" t="n"/>
      <c r="F29" s="67" t="n"/>
      <c r="G29" s="67" t="n"/>
      <c r="H29" s="70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22">
      <c r="A30" s="66" t="n"/>
      <c r="B30" s="67" t="n"/>
      <c r="C30" s="67" t="n"/>
      <c r="D30" s="67" t="n"/>
      <c r="E30" s="67" t="n"/>
      <c r="F30" s="67" t="n"/>
      <c r="G30" s="67" t="n"/>
      <c r="H30" s="70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22">
      <c r="A31" s="66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22">
      <c r="A32" s="66" t="n"/>
      <c r="B32" s="65" t="n"/>
      <c r="C32" s="67" t="n"/>
      <c r="D32" s="67" t="n"/>
      <c r="E32" s="67" t="n"/>
      <c r="F32" s="67" t="n"/>
      <c r="G32" s="67" t="n"/>
      <c r="H32" s="167" t="n"/>
      <c r="J32" s="67" t="n"/>
      <c r="K32" s="167" t="n"/>
      <c r="Z32" s="139" t="n"/>
    </row>
    <row r="33" ht="15.75" customHeight="1" s="122">
      <c r="A33" s="66" t="n"/>
      <c r="B33" s="67" t="n"/>
      <c r="C33" s="67" t="n"/>
      <c r="D33" s="67" t="n"/>
      <c r="E33" s="67" t="n"/>
      <c r="F33" s="67" t="n"/>
      <c r="G33" s="67" t="n"/>
      <c r="H33" s="167" t="n"/>
      <c r="J33" s="67" t="n"/>
      <c r="K33" s="167" t="n"/>
      <c r="Z33" s="139" t="n"/>
    </row>
    <row r="34" ht="15.75" customHeight="1" s="122">
      <c r="A34" s="66" t="n"/>
      <c r="B34" s="67" t="n"/>
      <c r="C34" s="67" t="n"/>
      <c r="D34" s="67" t="n"/>
      <c r="E34" s="67" t="n"/>
      <c r="F34" s="67" t="n"/>
      <c r="G34" s="67" t="n"/>
      <c r="H34" s="70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22">
      <c r="A35" s="68" t="n"/>
      <c r="B35" s="67" t="n"/>
      <c r="C35" s="67" t="n"/>
      <c r="D35" s="67" t="n"/>
      <c r="E35" s="67" t="n"/>
      <c r="F35" s="67" t="n"/>
      <c r="G35" s="67" t="n"/>
      <c r="H35" s="70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15.75" customHeight="1" s="122">
      <c r="A36" s="66" t="n"/>
      <c r="B36" s="71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15.75" customHeight="1" s="122">
      <c r="A37" s="72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 ht="15.75" customHeight="1" s="122">
      <c r="A38" s="72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15.75" customHeight="1" s="122">
      <c r="A39" s="73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15.75" customHeight="1" s="122">
      <c r="A40" s="72" t="n"/>
      <c r="B40" s="67" t="n"/>
      <c r="C40" s="6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15.75" customHeight="1" s="122">
      <c r="A41" s="72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15.75" customHeight="1" s="122">
      <c r="A42" s="72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15.75" customHeight="1" s="122">
      <c r="A43" s="72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22">
      <c r="A44" s="72" t="n"/>
      <c r="B44" s="67" t="n"/>
      <c r="C44" s="67" t="n"/>
      <c r="D44" s="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15.75" customHeight="1" s="122">
      <c r="A45" s="72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15.75" customHeight="1" s="122">
      <c r="A46" s="72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15.75" customHeight="1" s="122">
      <c r="A47" s="72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15.75" customHeight="1" s="122">
      <c r="A48" s="72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15.75" customHeight="1" s="122">
      <c r="A49" s="72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15.75" customHeight="1" s="122">
      <c r="A50" s="72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15.75" customHeight="1" s="122">
      <c r="A51" s="72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15.75" customHeight="1" s="122">
      <c r="A52" s="72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15.75" customHeight="1" s="122">
      <c r="A53" s="72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15.75" customHeight="1" s="122">
      <c r="A54" s="72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15.75" customHeight="1" s="122">
      <c r="A55" s="72" t="n"/>
      <c r="B55" s="71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15.75" customHeight="1" s="122">
      <c r="A56" s="72" t="n"/>
      <c r="B56" s="71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15.75" customHeight="1" s="122">
      <c r="A57" s="72" t="n"/>
      <c r="B57" s="71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15.75" customHeight="1" s="122">
      <c r="A58" s="72" t="n"/>
      <c r="B58" s="71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15.75" customHeight="1" s="122">
      <c r="A59" s="72" t="n"/>
      <c r="B59" s="71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15.75" customHeight="1" s="122">
      <c r="A60" s="72" t="n"/>
      <c r="B60" s="71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15.75" customHeight="1" s="122">
      <c r="A61" s="72" t="n"/>
      <c r="B61" s="71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15.75" customHeight="1" s="122">
      <c r="A62" s="72" t="n"/>
      <c r="B62" s="71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15.75" customHeight="1" s="122">
      <c r="A63" s="72" t="n"/>
      <c r="B63" s="71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15.75" customHeight="1" s="122">
      <c r="A64" s="72" t="n"/>
      <c r="B64" s="71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15.75" customHeight="1" s="122">
      <c r="A65" s="72" t="n"/>
      <c r="B65" s="71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15.75" customHeight="1" s="122">
      <c r="A66" s="72" t="n"/>
      <c r="B66" s="71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15.75" customHeight="1" s="122">
      <c r="A67" s="72" t="n"/>
      <c r="B67" s="71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15.75" customHeight="1" s="122">
      <c r="A68" s="72" t="n"/>
      <c r="B68" s="71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15.75" customHeight="1" s="122">
      <c r="A69" s="72" t="n"/>
      <c r="B69" s="71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15.75" customHeight="1" s="122">
      <c r="A70" s="72" t="n"/>
      <c r="B70" s="71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15.75" customHeight="1" s="122">
      <c r="A71" s="72" t="n"/>
      <c r="B71" s="71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15.75" customHeight="1" s="122">
      <c r="A72" s="72" t="n"/>
      <c r="B72" s="71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15.75" customHeight="1" s="122">
      <c r="A73" s="72" t="n"/>
      <c r="B73" s="71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15.75" customHeight="1" s="122">
      <c r="A74" s="72" t="n"/>
      <c r="B74" s="71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15.75" customHeight="1" s="122"/>
    <row r="76" ht="15.75" customHeight="1" s="122">
      <c r="A76" s="72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15.75" customHeight="1" s="122">
      <c r="A77" s="72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15.75" customHeight="1" s="122">
      <c r="A78" s="72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15.75" customHeight="1" s="122">
      <c r="A79" s="72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15.75" customHeight="1" s="122">
      <c r="A80" s="72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15.75" customHeight="1" s="122">
      <c r="A81" s="72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15.75" customHeight="1" s="122">
      <c r="A82" s="72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15.75" customHeight="1" s="122">
      <c r="A83" s="72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15.75" customHeight="1" s="122">
      <c r="A84" s="72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15.75" customHeight="1" s="122">
      <c r="A85" s="72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15.75" customHeight="1" s="122">
      <c r="A86" s="72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15.75" customHeight="1" s="122">
      <c r="A87" s="72" t="n"/>
      <c r="B87" s="71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15.75" customHeight="1" s="122">
      <c r="A88" s="72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15.75" customHeight="1" s="122">
      <c r="A89" s="72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15.75" customHeight="1" s="122">
      <c r="A90" s="72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5.75" customHeight="1" s="122">
      <c r="A91" s="72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15.75" customHeight="1" s="122">
      <c r="A92" s="72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15.75" customHeight="1" s="122">
      <c r="A93" s="72" t="n"/>
      <c r="B93" s="65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15.75" customHeight="1" s="122">
      <c r="A94" s="72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15.75" customHeight="1" s="122">
      <c r="A95" s="72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15.75" customHeight="1" s="122">
      <c r="A96" s="72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15.75" customHeight="1" s="122">
      <c r="A97" s="73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15.75" customHeight="1" s="122">
      <c r="A98" s="72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15.75" customHeight="1" s="122">
      <c r="A99" s="72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15.75" customHeight="1" s="122">
      <c r="A100" s="72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15.75" customHeight="1" s="122">
      <c r="A101" s="72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15.75" customHeight="1" s="122">
      <c r="A102" s="72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15.75" customHeight="1" s="122">
      <c r="A103" s="72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15.75" customHeight="1" s="122">
      <c r="A104" s="72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15.75" customHeight="1" s="122">
      <c r="A105" s="72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15.75" customHeight="1" s="122">
      <c r="A106" s="72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15.75" customHeight="1" s="122">
      <c r="A107" s="72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15.75" customHeight="1" s="122">
      <c r="A108" s="72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15.75" customHeight="1" s="122">
      <c r="A109" s="72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15.75" customHeight="1" s="122">
      <c r="A110" s="72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15.75" customHeight="1" s="122">
      <c r="A111" s="72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15.75" customHeight="1" s="122">
      <c r="A112" s="72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15.75" customHeight="1" s="122">
      <c r="A113" s="72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15.75" customHeight="1" s="122">
      <c r="A114" s="72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15.75" customHeight="1" s="122">
      <c r="A115" s="72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15.75" customHeight="1" s="122">
      <c r="A116" s="72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15.75" customHeight="1" s="122">
      <c r="A117" s="72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15.75" customHeight="1" s="122">
      <c r="A118" s="72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15.75" customHeight="1" s="122">
      <c r="A119" s="73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15.75" customHeight="1" s="122">
      <c r="A120" s="72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15.75" customHeight="1" s="122">
      <c r="A121" s="72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15.75" customHeight="1" s="122">
      <c r="A122" s="72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15.75" customHeight="1" s="122">
      <c r="A123" s="72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15.75" customHeight="1" s="122">
      <c r="A124" s="72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15.75" customHeight="1" s="122">
      <c r="A125" s="72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15.75" customHeight="1" s="122">
      <c r="A126" s="72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15.75" customHeight="1" s="122">
      <c r="A127" s="72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15.75" customHeight="1" s="122">
      <c r="A128" s="72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15.75" customHeight="1" s="122">
      <c r="A129" s="72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15.75" customHeight="1" s="122">
      <c r="A130" s="72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15.75" customHeight="1" s="122">
      <c r="A131" s="72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15.75" customHeight="1" s="122">
      <c r="A132" s="72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15.75" customHeight="1" s="122">
      <c r="A133" s="72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15.75" customHeight="1" s="122">
      <c r="A134" s="72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15.75" customHeight="1" s="122">
      <c r="A135" s="72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15.75" customHeight="1" s="122">
      <c r="A136" s="72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15.75" customHeight="1" s="122">
      <c r="A137" s="72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15.75" customHeight="1" s="122">
      <c r="A138" s="72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15.75" customHeight="1" s="122">
      <c r="A139" s="72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15.75" customHeight="1" s="122">
      <c r="A140" s="72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15.75" customHeight="1" s="122">
      <c r="A141" s="72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15.75" customHeight="1" s="122">
      <c r="A142" s="72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15.75" customHeight="1" s="122">
      <c r="A143" s="72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15.75" customHeight="1" s="122">
      <c r="A144" s="6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15.75" customHeight="1" s="122">
      <c r="A145" s="72" t="n"/>
      <c r="B145" s="67" t="n"/>
      <c r="C145" s="67" t="n"/>
      <c r="D145" s="67" t="n"/>
      <c r="E145" s="67" t="n"/>
      <c r="F145" s="67" t="n"/>
      <c r="G145" s="67" t="n"/>
      <c r="H145" s="70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15.75" customHeight="1" s="122">
      <c r="A146" s="72" t="n"/>
      <c r="B146" s="65" t="n"/>
      <c r="C146" s="67" t="n"/>
      <c r="D146" s="67" t="n"/>
      <c r="E146" s="67" t="n"/>
      <c r="F146" s="67" t="n"/>
      <c r="G146" s="67" t="n"/>
      <c r="H146" s="70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15.75" customHeight="1" s="122">
      <c r="A147" s="72" t="n"/>
      <c r="B147" s="67" t="n"/>
      <c r="C147" s="67" t="n"/>
      <c r="D147" s="67" t="n"/>
      <c r="E147" s="67" t="n"/>
      <c r="F147" s="67" t="n"/>
      <c r="G147" s="67" t="n"/>
      <c r="H147" s="70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15.75" customHeight="1" s="122">
      <c r="A148" s="72" t="n"/>
      <c r="B148" s="67" t="n"/>
      <c r="C148" s="67" t="n"/>
      <c r="D148" s="67" t="n"/>
      <c r="E148" s="67" t="n"/>
      <c r="F148" s="67" t="n"/>
      <c r="G148" s="67" t="n"/>
      <c r="H148" s="70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15.75" customHeight="1" s="122">
      <c r="A149" s="72" t="n"/>
      <c r="B149" s="67" t="n"/>
      <c r="C149" s="67" t="n"/>
      <c r="D149" s="67" t="n"/>
      <c r="E149" s="67" t="n"/>
      <c r="F149" s="67" t="n"/>
      <c r="G149" s="67" t="n"/>
      <c r="H149" s="70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15.75" customHeight="1" s="122">
      <c r="A150" s="72" t="n"/>
      <c r="B150" s="67" t="n"/>
      <c r="C150" s="67" t="n"/>
      <c r="D150" s="67" t="n"/>
      <c r="E150" s="67" t="n"/>
      <c r="F150" s="67" t="n"/>
      <c r="G150" s="67" t="n"/>
      <c r="H150" s="70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15.75" customHeight="1" s="122">
      <c r="A151" s="72" t="n"/>
      <c r="B151" s="74" t="n"/>
      <c r="C151" s="75" t="n"/>
      <c r="D151" s="75" t="n"/>
      <c r="E151" s="75" t="n"/>
      <c r="F151" s="75" t="n"/>
      <c r="G151" s="75" t="n"/>
      <c r="H151" s="70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15.75" customHeight="1" s="12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5.75" customHeight="1" s="122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15.75" customHeight="1" s="122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15.75" customHeight="1" s="122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15.75" customHeight="1" s="122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15.75" customHeight="1" s="122">
      <c r="A157" s="67" t="n"/>
      <c r="B157" s="65" t="n"/>
      <c r="C157" s="76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15.75" customHeight="1" s="122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15.75" customHeight="1" s="122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15.75" customHeight="1" s="122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15.75" customHeight="1" s="122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15.75" customHeight="1" s="12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15.75" customHeight="1" s="122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15.75" customHeight="1" s="122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15.75" customHeight="1" s="122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15.75" customHeight="1" s="122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15.75" customHeight="1" s="122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15.75" customHeight="1" s="122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15.75" customHeight="1" s="122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15.75" customHeight="1" s="122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15.75" customHeight="1" s="122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15.75" customHeight="1" s="12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15.75" customHeight="1" s="122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15.75" customHeight="1" s="122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15.75" customHeight="1" s="122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15.75" customHeight="1" s="122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15.75" customHeight="1" s="122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15.75" customHeight="1" s="122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15.75" customHeight="1" s="122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15.75" customHeight="1" s="122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15.75" customHeight="1" s="122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15.75" customHeight="1" s="12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15.75" customHeight="1" s="122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15.75" customHeight="1" s="122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15.75" customHeight="1" s="122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15.75" customHeight="1" s="122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15.75" customHeight="1" s="122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15.75" customHeight="1" s="122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15.75" customHeight="1" s="122">
      <c r="A189" s="7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15.75" customHeight="1" s="122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15.75" customHeight="1" s="122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15.75" customHeight="1" s="12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15.75" customHeight="1" s="122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15.75" customHeight="1" s="122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15.75" customHeight="1" s="122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15.75" customHeight="1" s="122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15.75" customHeight="1" s="122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15.75" customHeight="1" s="122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15.75" customHeight="1" s="122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15.75" customHeight="1" s="122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15.75" customHeight="1" s="122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15.75" customHeight="1" s="12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15.75" customHeight="1" s="122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15.75" customHeight="1" s="122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15.75" customHeight="1" s="122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15.75" customHeight="1" s="122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15.75" customHeight="1" s="122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15.75" customHeight="1" s="122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15.75" customHeight="1" s="122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15.75" customHeight="1" s="122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15.75" customHeight="1" s="122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15.75" customHeight="1" s="12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15.75" customHeight="1" s="122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15.75" customHeight="1" s="122">
      <c r="A214" s="71" t="n"/>
      <c r="B214" s="65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15.75" customHeight="1" s="122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15.75" customHeight="1" s="122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15.75" customHeight="1" s="122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15.75" customHeight="1" s="122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15.75" customHeight="1" s="122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15.75" customHeight="1" s="122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15.75" customHeight="1" s="122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15.75" customHeight="1" s="1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15.75" customHeight="1" s="122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15.75" customHeight="1" s="122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15.75" customHeight="1" s="122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15.75" customHeight="1" s="122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15.75" customHeight="1" s="122">
      <c r="A227" s="6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15.75" customHeight="1" s="122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15.75" customHeight="1" s="122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15.75" customHeight="1" s="122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15.75" customHeight="1" s="122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15.75" customHeight="1" s="12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15.75" customHeight="1" s="122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15.75" customHeight="1" s="122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15.75" customHeight="1" s="122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15.75" customHeight="1" s="122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15.75" customHeight="1" s="122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15.75" customHeight="1" s="122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15.75" customHeight="1" s="122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15.75" customHeight="1" s="122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15.75" customHeight="1" s="122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15.75" customHeight="1" s="12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122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 ht="15.75" customHeight="1" s="122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 ht="15.75" customHeight="1" s="122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 ht="15.75" customHeight="1" s="122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 ht="15.75" customHeight="1" s="122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 ht="15.75" customHeight="1" s="122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 ht="15.75" customHeight="1" s="122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 ht="15.75" customHeight="1" s="122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 ht="15.75" customHeight="1" s="122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 ht="15.75" customHeight="1" s="12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 ht="15.75" customHeight="1" s="122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 ht="15.75" customHeight="1" s="122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 ht="15.75" customHeight="1" s="122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 ht="15.75" customHeight="1" s="122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 ht="15.75" customHeight="1" s="122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 ht="15.75" customHeight="1" s="122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 ht="15.75" customHeight="1" s="122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 ht="15.75" customHeight="1" s="122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 ht="15.75" customHeight="1" s="122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 ht="15.75" customHeight="1" s="12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 ht="15.75" customHeight="1" s="122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 ht="15.75" customHeight="1" s="122">
      <c r="A264" s="60" t="n"/>
      <c r="B264" s="65" t="n"/>
      <c r="C264" s="71" t="n"/>
      <c r="D264" s="71" t="n"/>
      <c r="E264" s="71" t="n"/>
      <c r="F264" s="71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 ht="15.75" customHeight="1" s="122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 ht="15.75" customHeight="1" s="122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 ht="15.75" customHeight="1" s="122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 ht="15.75" customHeight="1" s="122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 ht="15.75" customHeight="1" s="122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 ht="15.75" customHeight="1" s="122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 ht="15.75" customHeight="1" s="122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 ht="15.75" customHeight="1" s="12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 ht="15.75" customHeight="1" s="122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 ht="15.75" customHeight="1" s="122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 ht="15.75" customHeight="1" s="122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 ht="15.75" customHeight="1" s="122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 ht="15.75" customHeight="1" s="122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 ht="15.75" customHeight="1" s="122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 ht="15.75" customHeight="1" s="122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 ht="15.75" customHeight="1" s="122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 ht="15.75" customHeight="1" s="122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 ht="15.75" customHeight="1" s="12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 ht="15.75" customHeight="1" s="122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 ht="15.75" customHeight="1" s="122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 ht="15.75" customHeight="1" s="122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 ht="15.75" customHeight="1" s="122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 ht="15.75" customHeight="1" s="122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122" min="1" max="1"/>
    <col width="7.8984375" customWidth="1" style="122" min="2" max="2"/>
    <col width="13.3984375" customWidth="1" style="122" min="3" max="3"/>
    <col width="29" customWidth="1" style="122" min="4" max="4"/>
    <col width="16.09765625" customWidth="1" style="122" min="5" max="7"/>
    <col width="3.3984375" customWidth="1" style="122" min="8" max="8"/>
    <col width="7.8984375" customWidth="1" style="122" min="9" max="26"/>
  </cols>
  <sheetData>
    <row r="1" ht="14.25" customHeight="1" s="122">
      <c r="A1" s="78" t="inlineStr">
        <is>
          <t>RECORD OF CHANGE OF THE TEMPLATE</t>
        </is>
      </c>
      <c r="B1" s="79" t="n"/>
      <c r="C1" s="79" t="n"/>
      <c r="D1" s="79" t="n"/>
      <c r="E1" s="79" t="n"/>
      <c r="F1" s="79" t="n"/>
      <c r="G1" s="79" t="n"/>
      <c r="H1" s="79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</row>
    <row r="2" ht="14.25" customHeight="1" s="122">
      <c r="A2" s="81" t="inlineStr">
        <is>
          <t>User can remove this sheet</t>
        </is>
      </c>
      <c r="B2" s="79" t="n"/>
      <c r="C2" s="79" t="n"/>
      <c r="D2" s="79" t="n"/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</row>
    <row r="3" ht="14.25" customHeight="1" s="122">
      <c r="A3" s="81" t="n"/>
      <c r="B3" s="79" t="n"/>
      <c r="C3" s="79" t="n"/>
      <c r="D3" s="79" t="n"/>
      <c r="E3" s="79" t="n"/>
      <c r="F3" s="79" t="n"/>
      <c r="G3" s="79" t="n"/>
      <c r="H3" s="79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</row>
    <row r="4" ht="14.25" customHeight="1" s="122">
      <c r="A4" s="81" t="n"/>
      <c r="B4" s="79" t="n"/>
      <c r="C4" s="82" t="inlineStr">
        <is>
          <t>Document code</t>
        </is>
      </c>
      <c r="D4" s="83" t="inlineStr">
        <is>
          <t xml:space="preserve">SWD.VV.TEM.01.02 </t>
        </is>
      </c>
      <c r="E4" s="79" t="n"/>
      <c r="F4" s="79" t="n"/>
      <c r="G4" s="79" t="n"/>
      <c r="H4" s="79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</row>
    <row r="5" ht="14.25" customHeight="1" s="122">
      <c r="A5" s="81" t="n"/>
      <c r="B5" s="79" t="n"/>
      <c r="C5" s="82" t="inlineStr">
        <is>
          <t>Version</t>
        </is>
      </c>
      <c r="D5" s="168" t="n">
        <v>1</v>
      </c>
      <c r="E5" s="79" t="n"/>
      <c r="F5" s="79" t="n"/>
      <c r="G5" s="79" t="n"/>
      <c r="H5" s="79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</row>
    <row r="6" ht="14.25" customHeight="1" s="122">
      <c r="A6" s="81" t="n"/>
      <c r="B6" s="79" t="n"/>
      <c r="C6" s="82" t="inlineStr">
        <is>
          <t>Effective Date</t>
        </is>
      </c>
      <c r="D6" s="85" t="n">
        <v>44694</v>
      </c>
      <c r="E6" s="79" t="n"/>
      <c r="F6" s="79" t="n"/>
      <c r="G6" s="79" t="n"/>
      <c r="H6" s="79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</row>
    <row r="7" ht="14.25" customHeight="1" s="122">
      <c r="A7" s="81" t="n"/>
      <c r="B7" s="79" t="n"/>
      <c r="C7" s="79" t="n"/>
      <c r="D7" s="79" t="n"/>
      <c r="E7" s="79" t="n"/>
      <c r="F7" s="79" t="n"/>
      <c r="G7" s="79" t="n"/>
      <c r="H7" s="79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</row>
    <row r="8" ht="14.25" customHeight="1" s="122">
      <c r="A8" s="86" t="inlineStr">
        <is>
          <t>No</t>
        </is>
      </c>
      <c r="B8" s="86" t="inlineStr">
        <is>
          <t>Effective Date</t>
        </is>
      </c>
      <c r="C8" s="86" t="inlineStr">
        <is>
          <t>Version</t>
        </is>
      </c>
      <c r="D8" s="87" t="inlineStr">
        <is>
          <t>Change Description</t>
        </is>
      </c>
      <c r="E8" s="86" t="inlineStr">
        <is>
          <t>Author</t>
        </is>
      </c>
      <c r="F8" s="86" t="inlineStr">
        <is>
          <t>Reviewer</t>
        </is>
      </c>
      <c r="G8" s="86" t="inlineStr">
        <is>
          <t>Approver</t>
        </is>
      </c>
      <c r="H8" s="79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</row>
    <row r="9" ht="14.25" customHeight="1" s="122">
      <c r="A9" s="88" t="n">
        <v>1</v>
      </c>
      <c r="B9" s="89" t="n">
        <v>44691</v>
      </c>
      <c r="C9" s="169" t="n">
        <v>0.1</v>
      </c>
      <c r="D9" s="91" t="inlineStr">
        <is>
          <t>First version</t>
        </is>
      </c>
      <c r="E9" s="88" t="inlineStr">
        <is>
          <t>Anh.nguyen11</t>
        </is>
      </c>
      <c r="F9" s="88" t="inlineStr">
        <is>
          <t>Binh.IMI</t>
        </is>
      </c>
      <c r="G9" s="88" t="inlineStr">
        <is>
          <t>N/A</t>
        </is>
      </c>
      <c r="H9" s="79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</row>
    <row r="10" ht="14.25" customHeight="1" s="122">
      <c r="A10" s="88" t="n">
        <v>2</v>
      </c>
      <c r="B10" s="89" t="n">
        <v>44694</v>
      </c>
      <c r="C10" s="169" t="n">
        <v>1</v>
      </c>
      <c r="D10" s="91" t="inlineStr">
        <is>
          <t>Approved</t>
        </is>
      </c>
      <c r="E10" s="88" t="inlineStr">
        <is>
          <t>Anh.nguyen11</t>
        </is>
      </c>
      <c r="F10" s="88" t="inlineStr">
        <is>
          <t>Minh.dao</t>
        </is>
      </c>
      <c r="G10" s="88" t="inlineStr">
        <is>
          <t>Minh.dao</t>
        </is>
      </c>
      <c r="H10" s="92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</row>
    <row r="11" ht="14.25" customHeight="1" s="122">
      <c r="A11" s="88" t="n">
        <v>3</v>
      </c>
      <c r="B11" s="89" t="n"/>
      <c r="C11" s="169" t="n"/>
      <c r="D11" s="93" t="n"/>
      <c r="E11" s="88" t="n"/>
      <c r="F11" s="88" t="n"/>
      <c r="G11" s="88" t="n"/>
      <c r="H11" s="92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</row>
    <row r="12" ht="14.25" customHeight="1" s="122">
      <c r="A12" s="88" t="n">
        <v>4</v>
      </c>
      <c r="B12" s="89" t="n"/>
      <c r="C12" s="169" t="n"/>
      <c r="D12" s="93" t="n"/>
      <c r="E12" s="88" t="n"/>
      <c r="F12" s="88" t="n"/>
      <c r="G12" s="88" t="n"/>
      <c r="H12" s="92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</row>
    <row r="13" ht="14.25" customHeight="1" s="122">
      <c r="A13" s="88" t="n">
        <v>5</v>
      </c>
      <c r="B13" s="89" t="n"/>
      <c r="C13" s="169" t="n"/>
      <c r="D13" s="93" t="n"/>
      <c r="E13" s="88" t="n"/>
      <c r="F13" s="88" t="n"/>
      <c r="G13" s="88" t="n"/>
      <c r="H13" s="92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</row>
    <row r="14" ht="14.25" customHeight="1" s="122">
      <c r="A14" s="94" t="n"/>
      <c r="B14" s="95" t="n"/>
      <c r="C14" s="170" t="n"/>
      <c r="D14" s="97" t="n"/>
      <c r="E14" s="94" t="n"/>
      <c r="F14" s="94" t="n"/>
      <c r="G14" s="94" t="n"/>
      <c r="H14" s="92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</row>
    <row r="15" ht="14.25" customHeight="1" s="122">
      <c r="A15" s="92" t="n"/>
      <c r="B15" s="92" t="n"/>
      <c r="C15" s="92" t="n"/>
      <c r="D15" s="92" t="n"/>
      <c r="E15" s="92" t="n"/>
      <c r="F15" s="92" t="n"/>
      <c r="G15" s="92" t="n"/>
      <c r="H15" s="92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</row>
    <row r="16" ht="14.25" customHeight="1" s="122">
      <c r="A16" s="80" t="n"/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</row>
    <row r="17" ht="14.25" customHeight="1" s="122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</row>
    <row r="18" ht="14.25" customHeight="1" s="122">
      <c r="A18" s="80" t="n"/>
      <c r="B18" s="80" t="n"/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</row>
    <row r="19" ht="14.25" customHeight="1" s="122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</row>
    <row r="20" ht="14.25" customHeight="1" s="122">
      <c r="A20" s="80" t="n"/>
      <c r="B20" s="80" t="n"/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</row>
    <row r="21" ht="14.25" customHeight="1" s="122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</row>
    <row r="22" ht="14.25" customHeight="1" s="122">
      <c r="A22" s="80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</row>
    <row r="23" ht="14.25" customHeight="1" s="122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</row>
    <row r="24" ht="14.25" customHeight="1" s="122">
      <c r="A24" s="80" t="n"/>
      <c r="B24" s="80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</row>
    <row r="25" ht="14.25" customHeight="1" s="122">
      <c r="A25" s="80" t="n"/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</row>
    <row r="26" ht="14.25" customHeight="1" s="122">
      <c r="A26" s="80" t="n"/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</row>
    <row r="27" ht="14.25" customHeight="1" s="122">
      <c r="A27" s="80" t="n"/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</row>
    <row r="28" ht="14.25" customHeight="1" s="122">
      <c r="A28" s="80" t="n"/>
      <c r="B28" s="80" t="n"/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</row>
    <row r="29" ht="14.25" customHeight="1" s="122">
      <c r="A29" s="80" t="n"/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</row>
    <row r="30" ht="14.25" customHeight="1" s="122">
      <c r="A30" s="80" t="n"/>
      <c r="B30" s="80" t="n"/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</row>
    <row r="31" ht="14.25" customHeight="1" s="122">
      <c r="A31" s="80" t="n"/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</row>
    <row r="32" ht="14.25" customHeight="1" s="122">
      <c r="A32" s="80" t="n"/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</row>
    <row r="33" ht="14.25" customHeight="1" s="122">
      <c r="A33" s="80" t="n"/>
      <c r="B33" s="80" t="n"/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</row>
    <row r="34" ht="14.25" customHeight="1" s="122">
      <c r="A34" s="80" t="n"/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</row>
    <row r="35" ht="14.25" customHeight="1" s="122">
      <c r="A35" s="80" t="n"/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</row>
    <row r="36" ht="14.25" customHeight="1" s="122">
      <c r="A36" s="80" t="n"/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14.25" customHeight="1" s="122">
      <c r="A37" s="80" t="n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4.25" customHeight="1" s="122">
      <c r="A38" s="80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14.25" customHeight="1" s="122">
      <c r="A39" s="80" t="n"/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14.25" customHeight="1" s="122">
      <c r="A40" s="80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14.25" customHeight="1" s="122">
      <c r="A41" s="80" t="n"/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14.25" customHeight="1" s="122">
      <c r="A42" s="80" t="n"/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14.25" customHeight="1" s="122">
      <c r="A43" s="80" t="n"/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</row>
    <row r="44" ht="14.25" customHeight="1" s="122">
      <c r="A44" s="80" t="n"/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</row>
    <row r="45" ht="14.25" customHeight="1" s="122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</row>
    <row r="46" ht="14.25" customHeight="1" s="122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</row>
    <row r="47" ht="14.25" customHeight="1" s="122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</row>
    <row r="48" ht="14.25" customHeight="1" s="122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</row>
    <row r="49" ht="14.25" customHeight="1" s="122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</row>
    <row r="50" ht="14.25" customHeight="1" s="122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</row>
    <row r="51" ht="14.25" customHeight="1" s="122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</row>
    <row r="52" ht="14.25" customHeight="1" s="122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</row>
    <row r="53" ht="14.25" customHeight="1" s="12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</row>
    <row r="54" ht="14.25" customHeight="1" s="122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</row>
    <row r="55" ht="14.25" customHeight="1" s="122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</row>
    <row r="56" ht="14.25" customHeight="1" s="122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</row>
    <row r="57" ht="14.25" customHeight="1" s="122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</row>
    <row r="58" ht="14.25" customHeight="1" s="122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</row>
    <row r="59" ht="14.25" customHeight="1" s="122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</row>
    <row r="60" ht="14.25" customHeight="1" s="122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</row>
    <row r="61" ht="14.25" customHeight="1" s="122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0" t="n"/>
      <c r="X61" s="80" t="n"/>
      <c r="Y61" s="80" t="n"/>
      <c r="Z61" s="80" t="n"/>
    </row>
    <row r="62" ht="14.25" customHeight="1" s="122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  <c r="W62" s="80" t="n"/>
      <c r="X62" s="80" t="n"/>
      <c r="Y62" s="80" t="n"/>
      <c r="Z62" s="80" t="n"/>
    </row>
    <row r="63" ht="14.25" customHeight="1" s="122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  <c r="Y63" s="80" t="n"/>
      <c r="Z63" s="80" t="n"/>
    </row>
    <row r="64" ht="14.25" customHeight="1" s="122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  <c r="Y64" s="80" t="n"/>
      <c r="Z64" s="80" t="n"/>
    </row>
    <row r="65" ht="14.25" customHeight="1" s="122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  <c r="Y65" s="80" t="n"/>
      <c r="Z65" s="80" t="n"/>
    </row>
    <row r="66" ht="14.25" customHeight="1" s="122">
      <c r="A66" s="80" t="n"/>
      <c r="B66" s="80" t="n"/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0" t="n"/>
      <c r="X66" s="80" t="n"/>
      <c r="Y66" s="80" t="n"/>
      <c r="Z66" s="80" t="n"/>
    </row>
    <row r="67" ht="14.25" customHeight="1" s="122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</row>
    <row r="68" ht="14.25" customHeight="1" s="122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</row>
    <row r="69" ht="14.25" customHeight="1" s="122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0" t="n"/>
      <c r="X69" s="80" t="n"/>
      <c r="Y69" s="80" t="n"/>
      <c r="Z69" s="80" t="n"/>
    </row>
    <row r="70" ht="14.25" customHeight="1" s="122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</row>
    <row r="71" ht="14.25" customHeight="1" s="122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</row>
    <row r="72" ht="14.25" customHeight="1" s="12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0" t="n"/>
      <c r="X72" s="80" t="n"/>
      <c r="Y72" s="80" t="n"/>
      <c r="Z72" s="80" t="n"/>
    </row>
    <row r="73" ht="14.25" customHeight="1" s="122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0" t="n"/>
      <c r="X73" s="80" t="n"/>
      <c r="Y73" s="80" t="n"/>
      <c r="Z73" s="80" t="n"/>
    </row>
    <row r="74" ht="14.25" customHeight="1" s="122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0" t="n"/>
      <c r="X74" s="80" t="n"/>
      <c r="Y74" s="80" t="n"/>
      <c r="Z74" s="80" t="n"/>
    </row>
    <row r="75" ht="14.25" customHeight="1" s="122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0" t="n"/>
      <c r="X75" s="80" t="n"/>
      <c r="Y75" s="80" t="n"/>
      <c r="Z75" s="80" t="n"/>
    </row>
    <row r="76" ht="14.25" customHeight="1" s="122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0" t="n"/>
      <c r="X76" s="80" t="n"/>
      <c r="Y76" s="80" t="n"/>
      <c r="Z76" s="80" t="n"/>
    </row>
    <row r="77" ht="14.25" customHeight="1" s="122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  <c r="W77" s="80" t="n"/>
      <c r="X77" s="80" t="n"/>
      <c r="Y77" s="80" t="n"/>
      <c r="Z77" s="80" t="n"/>
    </row>
    <row r="78" ht="14.25" customHeight="1" s="122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4.25" customHeight="1" s="122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4.25" customHeight="1" s="122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4.25" customHeight="1" s="122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4.25" customHeight="1" s="12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4.25" customHeight="1" s="122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4.25" customHeight="1" s="122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4.25" customHeight="1" s="122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4.25" customHeight="1" s="122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4.25" customHeight="1" s="122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4.25" customHeight="1" s="122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4.25" customHeight="1" s="122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4.25" customHeight="1" s="122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4.25" customHeight="1" s="122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4.25" customHeight="1" s="12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4.25" customHeight="1" s="122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4.25" customHeight="1" s="122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4.25" customHeight="1" s="122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4.25" customHeight="1" s="122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4.25" customHeight="1" s="122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4.25" customHeight="1" s="122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4.25" customHeight="1" s="122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4.25" customHeight="1" s="122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4.25" customHeight="1" s="122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4.25" customHeight="1" s="12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4.25" customHeight="1" s="122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4.25" customHeight="1" s="122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4.25" customHeight="1" s="122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4.25" customHeight="1" s="122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4.25" customHeight="1" s="12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4.25" customHeight="1" s="122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4.25" customHeight="1" s="122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4.25" customHeight="1" s="122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4.25" customHeight="1" s="122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4.25" customHeight="1" s="12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4.25" customHeight="1" s="122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4.25" customHeight="1" s="122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4.25" customHeight="1" s="122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4.25" customHeight="1" s="122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4.25" customHeight="1" s="122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4.25" customHeight="1" s="122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4.25" customHeight="1" s="122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4.25" customHeight="1" s="122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4.25" customHeight="1" s="122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4.25" customHeight="1" s="122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4.25" customHeight="1" s="122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4.25" customHeight="1" s="122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4.25" customHeight="1" s="122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4.25" customHeight="1" s="122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4.25" customHeight="1" s="122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4.25" customHeight="1" s="122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4.25" customHeight="1" s="122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4.25" customHeight="1" s="122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4.25" customHeight="1" s="122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4.25" customHeight="1" s="122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4.25" customHeight="1" s="122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4.25" customHeight="1" s="122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4.25" customHeight="1" s="122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4.25" customHeight="1" s="122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4.25" customHeight="1" s="122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4.25" customHeight="1" s="122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4.25" customHeight="1" s="122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4.25" customHeight="1" s="122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4.25" customHeight="1" s="122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4.25" customHeight="1" s="122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4.25" customHeight="1" s="122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4.25" customHeight="1" s="122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4.25" customHeight="1" s="122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4.25" customHeight="1" s="122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4.25" customHeight="1" s="122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4.25" customHeight="1" s="122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4.25" customHeight="1" s="122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4.25" customHeight="1" s="122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4.25" customHeight="1" s="122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4.25" customHeight="1" s="122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4.25" customHeight="1" s="122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4.25" customHeight="1" s="122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4.25" customHeight="1" s="122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4.25" customHeight="1" s="122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4.25" customHeight="1" s="122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4.25" customHeight="1" s="122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4.25" customHeight="1" s="122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4.25" customHeight="1" s="122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4.25" customHeight="1" s="12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4.25" customHeight="1" s="122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4.25" customHeight="1" s="122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4.25" customHeight="1" s="122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4.25" customHeight="1" s="122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4.25" customHeight="1" s="122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4.25" customHeight="1" s="122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4.25" customHeight="1" s="122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4.25" customHeight="1" s="122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4.25" customHeight="1" s="122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4.25" customHeight="1" s="122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4.25" customHeight="1" s="122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4.25" customHeight="1" s="122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4.25" customHeight="1" s="122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4.25" customHeight="1" s="122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4.25" customHeight="1" s="122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4.25" customHeight="1" s="122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4.25" customHeight="1" s="122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4.25" customHeight="1" s="122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4.25" customHeight="1" s="122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4.25" customHeight="1" s="122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4.25" customHeight="1" s="122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4.25" customHeight="1" s="122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4.25" customHeight="1" s="122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4.25" customHeight="1" s="122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4.25" customHeight="1" s="122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4.25" customHeight="1" s="122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4.25" customHeight="1" s="122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4.25" customHeight="1" s="122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4.25" customHeight="1" s="122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4.25" customHeight="1" s="122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4.25" customHeight="1" s="122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4.25" customHeight="1" s="122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4.25" customHeight="1" s="122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4.25" customHeight="1" s="122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4.25" customHeight="1" s="122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4.25" customHeight="1" s="122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4.25" customHeight="1" s="122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4.25" customHeight="1" s="122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4.25" customHeight="1" s="122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4.25" customHeight="1" s="122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4.25" customHeight="1" s="122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4.25" customHeight="1" s="122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4.25" customHeight="1" s="122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4.25" customHeight="1" s="122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4.25" customHeight="1" s="122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4.25" customHeight="1" s="122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4.25" customHeight="1" s="122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4.25" customHeight="1" s="122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4.25" customHeight="1" s="122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4.25" customHeight="1" s="122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4.25" customHeight="1" s="122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4.25" customHeight="1" s="122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4.25" customHeight="1" s="122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4.25" customHeight="1" s="122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4.25" customHeight="1" s="122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4.25" customHeight="1" s="122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4.25" customHeight="1" s="122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4.25" customHeight="1" s="122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4.25" customHeight="1" s="122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2026-05-09T09:04:56Z</dcterms:created>
  <dcterms:modified xmlns:dcterms="http://purl.org/dc/terms/" xmlns:xsi="http://www.w3.org/2001/XMLSchema-instance" xsi:type="dcterms:W3CDTF">2026-05-09T09:04:56Z</dcterms:modified>
  <cp:lastModifiedBy>Phuong Tran</cp:lastModifiedBy>
</cp:coreProperties>
</file>